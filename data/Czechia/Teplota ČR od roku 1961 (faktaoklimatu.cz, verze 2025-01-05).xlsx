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rnutí" sheetId="1" r:id="rId5"/>
    <sheet state="visible" name="Vstup Měsíční teploty ČR" sheetId="2" r:id="rId6"/>
    <sheet state="visible" name="Výstup Teploty ČR podle měsíců" sheetId="3" r:id="rId7"/>
    <sheet state="visible" name="Předběžná teplota 2025 Shrnutí" sheetId="4" r:id="rId8"/>
    <sheet state="hidden" name="Výstup p-hodnoty" sheetId="5" r:id="rId9"/>
  </sheets>
  <definedNames/>
  <calcPr/>
</workbook>
</file>

<file path=xl/sharedStrings.xml><?xml version="1.0" encoding="utf-8"?>
<sst xmlns="http://schemas.openxmlformats.org/spreadsheetml/2006/main" count="187" uniqueCount="68">
  <si>
    <t>Teplota ČR od roku 1961</t>
  </si>
  <si>
    <t>adresa</t>
  </si>
  <si>
    <t>verze</t>
  </si>
  <si>
    <t>autor</t>
  </si>
  <si>
    <t>licence</t>
  </si>
  <si>
    <t>https://faktaoklimatu.cz/infografiky/teplota-cr
https://faktaoklimatu.cz/infografiky/teplota-cr-mesice
https://faktaoklimatu.cz/infografiky/trend-teplot-cr</t>
  </si>
  <si>
    <t>Fakta o klimatu</t>
  </si>
  <si>
    <t>CC BY 4.0</t>
  </si>
  <si>
    <t>Historie změn</t>
  </si>
  <si>
    <t>Aktualizace průměrných teplot za rok 2024 podle dat z tiskové zprávy ČHMÚ</t>
  </si>
  <si>
    <t>Aktualizace průměrných teplot za rok 2023 podle dat z tiskové zprávy ČHMÚ</t>
  </si>
  <si>
    <t>Aktualizace průměrných teplot za rok 2022 podle dat ČHMÚ</t>
  </si>
  <si>
    <t>Aktualizace průměrných teplot za rok 2021 podle dat ČHMÚ</t>
  </si>
  <si>
    <t>Aktualizace za rok 2021</t>
  </si>
  <si>
    <t>Aktualizace za rok 2020</t>
  </si>
  <si>
    <t>První verze datasetu</t>
  </si>
  <si>
    <t>A</t>
  </si>
  <si>
    <t>VSTUPY</t>
  </si>
  <si>
    <t>Údaj</t>
  </si>
  <si>
    <t>Zdroj</t>
  </si>
  <si>
    <t>Hodnota</t>
  </si>
  <si>
    <t>Datum stažení</t>
  </si>
  <si>
    <t>Komentář</t>
  </si>
  <si>
    <t>Odkaz</t>
  </si>
  <si>
    <t>Měsíční teploty v ČR</t>
  </si>
  <si>
    <t>ČHMÚ</t>
  </si>
  <si>
    <t>Tabulka v příloze</t>
  </si>
  <si>
    <t xml:space="preserve">Data ručně vykopírována z jednotlivých let. Na zdrojových stránkách jsou v odkazech pro jednotlivé roky uvedené průměrné teploty vzduchu [°C] v daném měsíci, uspořádané podle měsíců (v daném roce) a podle krajů. Vzhledem k velikosti ČR nebudou v trendech pro jednotlivé kraje podstatné rozdíly, proto dále pracujeme pouze s průměrnými teplotami pro daný rok a měsíc v rámci celé ČR.                                                                                                         </t>
  </si>
  <si>
    <t>http://portal.chmi.cz/historicka-data/pocasi/uzemni-teploty</t>
  </si>
  <si>
    <t>B</t>
  </si>
  <si>
    <t>VÝSTUPY</t>
  </si>
  <si>
    <t>Lineární trend</t>
  </si>
  <si>
    <t>Sklon lineárního trendu teplot ČR</t>
  </si>
  <si>
    <t>Spočítáno metodou nejmenších čtverců.</t>
  </si>
  <si>
    <t>Hodnota lineárního trendu teplot ČR pro první rok (1961)</t>
  </si>
  <si>
    <t>Průměrné roční teploty v ČR</t>
  </si>
  <si>
    <t>Rok</t>
  </si>
  <si>
    <t>Průměrná teplota</t>
  </si>
  <si>
    <t>Klouzavý průměr 5 let</t>
  </si>
  <si>
    <t>není k dispozici</t>
  </si>
  <si>
    <t>Průměrné teploty v ČR podle měsíců</t>
  </si>
  <si>
    <t>Teploty v ČR podle měsíců</t>
  </si>
  <si>
    <t>Prostá transpozice vstupních dat.</t>
  </si>
  <si>
    <t>Měsíc</t>
  </si>
  <si>
    <t>Sklon lineárního trendu</t>
  </si>
  <si>
    <t>Hodnota lineárního trendu pro první rok (1961)</t>
  </si>
  <si>
    <t>Trend za dekádu</t>
  </si>
  <si>
    <t xml:space="preserve">Oteplení od roku 1961 </t>
  </si>
  <si>
    <t>Průměrná teplota měsíce v letech 1961–1970</t>
  </si>
  <si>
    <t>Průměrná teplota měsíce v letech 2015–2024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</si>
  <si>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</si>
  <si>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</si>
  <si>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</si>
  <si>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</si>
  <si>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</si>
  <si>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</si>
  <si>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</si>
  <si>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</si>
  <si>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</si>
  <si>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</si>
  <si>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</si>
  <si>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</si>
  <si>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Roční průměr</t>
  </si>
  <si>
    <t>R skript</t>
  </si>
  <si>
    <t># Načti tabulku dat: Vstup: Měsíční hodnoty ČR
Temp_CR &lt;- read.csv("Teploty_CR.csv", header = T, sep = ";", dec = ".")
vysledky &lt;- data.frame("obdobi" = c("Leden", "Únor", "Březen", "Duben", "Květen",
                                    "Červen", "Červenec", "Srpen", "Září", "Říjen",
                                    "Listopad", "Prosinec", "Roční průměr"),
                       "p" = rep(NA, 13))
for(sloupec in 2:ncol(Temp_CR)) {
  vysledky$p[sloupec-1] &lt;- round(as.numeric(cor.test(Temp_CR[, 1], Temp_CR[, sloupec],
                                                     alternative = "two.sided", type="pearson",
                                                     conf.level = 0.95)[3]),
                                 digits = 5)
}
# Vypiš výsednou tabulku, viz tabulka níže
write.table(vysledky, file = "vysledky.csv", sep = ";", dec = ".", row.names = F)</t>
  </si>
  <si>
    <t>obdobi</t>
  </si>
  <si>
    <t>p</t>
  </si>
  <si>
    <t>0.001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</si>
</sst>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yyyy-mm-dd"/>
    <numFmt numFmtId="166" formatCode="dd&quot;. &quot;mm&quot;. &quot;yyyy"/>
    <numFmt numFmtId="167" formatCode="0.0"/>
    <numFmt numFmtId="168" formatCode="#,##0.000"/>
    <numFmt numFmtId="169" formatCode="#,##0.0"/>
    <numFmt numFmtId="170" formatCode="0.0000"/>
  </numFmts>
  <fonts count="30">
    <font>
      <sz val="11.0"/>
      <color rgb="FF000000"/>
      <name val="Arial"/>
      <scheme val="minor"/>
    </font>
    <font>
      <sz val="11.0"/>
      <color theme="1"/>
      <name val="Arial"/>
    </font>
    <font>
      <b/>
      <sz val="24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u/>
      <sz val="10.0"/>
      <color rgb="FF1155CC"/>
      <name val="Arial"/>
    </font>
    <font>
      <sz val="10.0"/>
      <color rgb="FF000000"/>
      <name val="Arial"/>
    </font>
    <font>
      <u/>
      <sz val="10.0"/>
      <color rgb="FF1155CC"/>
      <name val="Arial"/>
    </font>
    <font>
      <b/>
      <sz val="10.0"/>
      <color rgb="FF999999"/>
      <name val="Arial"/>
    </font>
    <font>
      <sz val="10.0"/>
      <color rgb="FF999999"/>
      <name val="Arial"/>
    </font>
    <font>
      <u/>
      <sz val="10.0"/>
      <color rgb="FF0000FF"/>
      <name val="Arial"/>
    </font>
    <font>
      <u/>
      <sz val="10.0"/>
      <color rgb="FF999999"/>
      <name val="Arial"/>
    </font>
    <font>
      <u/>
      <sz val="10.0"/>
      <color rgb="FF999999"/>
      <name val="Arial"/>
    </font>
    <font>
      <sz val="10.0"/>
      <color rgb="FFFFFFFF"/>
      <name val="Arial"/>
    </font>
    <font>
      <b/>
      <sz val="10.0"/>
      <color rgb="FF000000"/>
      <name val="Arial"/>
    </font>
    <font>
      <u/>
      <sz val="10.0"/>
      <color rgb="FF0000FF"/>
      <name val="Arial"/>
    </font>
    <font>
      <color theme="1"/>
      <name val="Arial"/>
      <scheme val="minor"/>
    </font>
    <font>
      <sz val="10.0"/>
      <color theme="1"/>
      <name val="Freesans"/>
    </font>
    <font>
      <b/>
      <sz val="10.0"/>
      <color theme="1"/>
      <name val="Freesans"/>
    </font>
    <font>
      <color theme="1"/>
      <name val="Arial"/>
    </font>
    <font>
      <color theme="1"/>
      <name val="Freesans"/>
    </font>
    <font>
      <color rgb="FFFF0000"/>
      <name val="Arial"/>
    </font>
    <font>
      <color rgb="FF000000"/>
      <name val="Arial"/>
    </font>
    <font>
      <u/>
      <sz val="10.0"/>
      <color rgb="FF0000FF"/>
      <name val="Arial"/>
    </font>
    <font>
      <b/>
      <color theme="1"/>
      <name val="Arial"/>
    </font>
    <font>
      <b/>
      <color theme="1"/>
      <name val="Freesans"/>
    </font>
    <font>
      <b/>
      <color theme="1"/>
      <name val="Arial"/>
      <scheme val="minor"/>
    </font>
    <font>
      <color theme="1"/>
      <name val="Roboto Mono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1C232"/>
        <bgColor rgb="FFF1C232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/>
    </border>
    <border>
      <left/>
      <right/>
      <top/>
      <bottom/>
    </border>
    <border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2" fontId="2" numFmtId="0" xfId="0" applyAlignment="1" applyFont="1">
      <alignment readingOrder="0" shrinkToFit="0" vertical="top" wrapText="0"/>
    </xf>
    <xf borderId="0" fillId="2" fontId="1" numFmtId="164" xfId="0" applyAlignment="1" applyFont="1" applyNumberFormat="1">
      <alignment vertical="top"/>
    </xf>
    <xf borderId="0" fillId="3" fontId="3" numFmtId="0" xfId="0" applyAlignment="1" applyFill="1" applyFont="1">
      <alignment vertical="top"/>
    </xf>
    <xf borderId="0" fillId="3" fontId="4" numFmtId="0" xfId="0" applyAlignment="1" applyFont="1">
      <alignment vertical="top"/>
    </xf>
    <xf borderId="0" fillId="3" fontId="4" numFmtId="164" xfId="0" applyAlignment="1" applyFont="1" applyNumberFormat="1">
      <alignment vertical="top"/>
    </xf>
    <xf borderId="0" fillId="3" fontId="5" numFmtId="0" xfId="0" applyAlignment="1" applyFont="1">
      <alignment readingOrder="0" vertical="bottom"/>
    </xf>
    <xf borderId="0" fillId="3" fontId="4" numFmtId="165" xfId="0" applyAlignment="1" applyFont="1" applyNumberFormat="1">
      <alignment horizontal="left" readingOrder="0" vertical="top"/>
    </xf>
    <xf borderId="0" fillId="3" fontId="6" numFmtId="0" xfId="0" applyAlignment="1" applyFont="1">
      <alignment vertical="top"/>
    </xf>
    <xf borderId="0" fillId="3" fontId="7" numFmtId="164" xfId="0" applyAlignment="1" applyFont="1" applyNumberFormat="1">
      <alignment vertical="top"/>
    </xf>
    <xf borderId="0" fillId="0" fontId="3" numFmtId="0" xfId="0" applyAlignment="1" applyFont="1">
      <alignment vertical="top"/>
    </xf>
    <xf borderId="0" fillId="0" fontId="3" numFmtId="164" xfId="0" applyAlignment="1" applyFont="1" applyNumberFormat="1">
      <alignment vertical="top"/>
    </xf>
    <xf borderId="0" fillId="0" fontId="4" numFmtId="0" xfId="0" applyAlignment="1" applyFont="1">
      <alignment horizontal="right" vertical="top"/>
    </xf>
    <xf borderId="0" fillId="0" fontId="3" numFmtId="165" xfId="0" applyAlignment="1" applyFont="1" applyNumberFormat="1">
      <alignment horizontal="right" readingOrder="0" vertical="top"/>
    </xf>
    <xf borderId="0" fillId="0" fontId="3" numFmtId="0" xfId="0" applyAlignment="1" applyFont="1">
      <alignment readingOrder="0" vertical="top"/>
    </xf>
    <xf borderId="0" fillId="0" fontId="3" numFmtId="165" xfId="0" applyAlignment="1" applyFont="1" applyNumberFormat="1">
      <alignment vertical="top"/>
    </xf>
    <xf borderId="0" fillId="4" fontId="4" numFmtId="0" xfId="0" applyAlignment="1" applyFill="1" applyFont="1">
      <alignment horizontal="right" vertical="top"/>
    </xf>
    <xf borderId="0" fillId="4" fontId="4" numFmtId="0" xfId="0" applyAlignment="1" applyFont="1">
      <alignment vertical="top"/>
    </xf>
    <xf borderId="0" fillId="4" fontId="3" numFmtId="0" xfId="0" applyAlignment="1" applyFont="1">
      <alignment vertical="top"/>
    </xf>
    <xf borderId="0" fillId="4" fontId="3" numFmtId="164" xfId="0" applyAlignment="1" applyFont="1" applyNumberFormat="1">
      <alignment vertical="top"/>
    </xf>
    <xf borderId="0" fillId="5" fontId="3" numFmtId="0" xfId="0" applyAlignment="1" applyFill="1" applyFont="1">
      <alignment vertical="bottom"/>
    </xf>
    <xf borderId="0" fillId="5" fontId="4" numFmtId="0" xfId="0" applyAlignment="1" applyFont="1">
      <alignment vertical="bottom"/>
    </xf>
    <xf borderId="0" fillId="5" fontId="4" numFmtId="0" xfId="0" applyAlignment="1" applyFont="1">
      <alignment shrinkToFit="0" vertical="bottom" wrapText="1"/>
    </xf>
    <xf borderId="0" fillId="5" fontId="8" numFmtId="0" xfId="0" applyAlignment="1" applyFont="1">
      <alignment vertical="bottom"/>
    </xf>
    <xf borderId="0" fillId="5" fontId="8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6" fontId="4" numFmtId="0" xfId="0" applyAlignment="1" applyFill="1" applyFont="1">
      <alignment horizontal="right" vertical="top"/>
    </xf>
    <xf borderId="0" fillId="6" fontId="4" numFmtId="0" xfId="0" applyAlignment="1" applyFont="1">
      <alignment readingOrder="0" vertical="top"/>
    </xf>
    <xf borderId="0" fillId="6" fontId="3" numFmtId="0" xfId="0" applyAlignment="1" applyFont="1">
      <alignment vertical="top"/>
    </xf>
    <xf borderId="0" fillId="6" fontId="9" numFmtId="164" xfId="0" applyAlignment="1" applyFont="1" applyNumberFormat="1">
      <alignment vertical="top"/>
    </xf>
    <xf borderId="0" fillId="6" fontId="9" numFmtId="0" xfId="0" applyAlignment="1" applyFont="1">
      <alignment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0" numFmtId="0" xfId="0" applyAlignment="1" applyFont="1">
      <alignment shrinkToFit="0" vertical="bottom" wrapText="0"/>
    </xf>
    <xf borderId="0" fillId="0" fontId="9" numFmtId="166" xfId="0" applyAlignment="1" applyFont="1" applyNumberFormat="1">
      <alignment readingOrder="0" vertical="bottom"/>
    </xf>
    <xf borderId="0" fillId="0" fontId="9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7" fontId="4" numFmtId="0" xfId="0" applyAlignment="1" applyFill="1" applyFont="1">
      <alignment horizontal="right" vertical="top"/>
    </xf>
    <xf borderId="0" fillId="7" fontId="4" numFmtId="0" xfId="0" applyAlignment="1" applyFont="1">
      <alignment vertical="top"/>
    </xf>
    <xf borderId="0" fillId="7" fontId="3" numFmtId="0" xfId="0" applyAlignment="1" applyFont="1">
      <alignment vertical="top"/>
    </xf>
    <xf borderId="0" fillId="7" fontId="3" numFmtId="164" xfId="0" applyAlignment="1" applyFont="1" applyNumberFormat="1">
      <alignment vertical="top"/>
    </xf>
    <xf borderId="0" fillId="0" fontId="3" numFmtId="164" xfId="0" applyAlignment="1" applyFont="1" applyNumberFormat="1">
      <alignment vertical="bottom"/>
    </xf>
    <xf borderId="0" fillId="6" fontId="4" numFmtId="0" xfId="0" applyAlignment="1" applyFont="1">
      <alignment horizontal="right" readingOrder="0" vertical="top"/>
    </xf>
    <xf borderId="0" fillId="6" fontId="3" numFmtId="4" xfId="0" applyAlignment="1" applyFont="1" applyNumberFormat="1">
      <alignment readingOrder="0" vertical="top"/>
    </xf>
    <xf borderId="0" fillId="6" fontId="3" numFmtId="0" xfId="0" applyAlignment="1" applyFont="1">
      <alignment vertical="top"/>
    </xf>
    <xf borderId="0" fillId="6" fontId="3" numFmtId="164" xfId="0" applyAlignment="1" applyFont="1" applyNumberFormat="1">
      <alignment vertical="top"/>
    </xf>
    <xf borderId="0" fillId="0" fontId="3" numFmtId="0" xfId="0" applyFont="1"/>
    <xf borderId="0" fillId="8" fontId="3" numFmtId="0" xfId="0" applyAlignment="1" applyFill="1" applyFont="1">
      <alignment readingOrder="0" vertical="bottom"/>
    </xf>
    <xf borderId="0" fillId="0" fontId="9" numFmtId="0" xfId="0" applyAlignment="1" applyFont="1">
      <alignment readingOrder="0" vertical="bottom"/>
    </xf>
    <xf borderId="0" fillId="6" fontId="3" numFmtId="0" xfId="0" applyAlignment="1" applyFont="1">
      <alignment vertical="bottom"/>
    </xf>
    <xf borderId="0" fillId="0" fontId="3" numFmtId="0" xfId="0" applyFont="1"/>
    <xf borderId="0" fillId="0" fontId="3" numFmtId="4" xfId="0" applyFont="1" applyNumberFormat="1"/>
    <xf borderId="0" fillId="0" fontId="3" numFmtId="167" xfId="0" applyFont="1" applyNumberForma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2" fillId="0" fontId="4" numFmtId="4" xfId="0" applyAlignment="1" applyBorder="1" applyFont="1" applyNumberFormat="1">
      <alignment readingOrder="0" shrinkToFit="0" wrapText="1"/>
    </xf>
    <xf borderId="2" fillId="0" fontId="4" numFmtId="0" xfId="0" applyAlignment="1" applyBorder="1" applyFont="1">
      <alignment readingOrder="0" shrinkToFit="0" wrapText="1"/>
    </xf>
    <xf borderId="3" fillId="0" fontId="4" numFmtId="4" xfId="0" applyAlignment="1" applyBorder="1" applyFont="1" applyNumberFormat="1">
      <alignment readingOrder="0" shrinkToFit="0" wrapText="1"/>
    </xf>
    <xf borderId="0" fillId="0" fontId="3" numFmtId="0" xfId="0" applyAlignment="1" applyFont="1">
      <alignment readingOrder="0" shrinkToFit="0" vertical="bottom" wrapText="1"/>
    </xf>
    <xf borderId="4" fillId="0" fontId="14" numFmtId="0" xfId="0" applyBorder="1" applyFont="1"/>
    <xf borderId="5" fillId="0" fontId="6" numFmtId="167" xfId="0" applyBorder="1" applyFont="1" applyNumberFormat="1"/>
    <xf borderId="5" fillId="0" fontId="9" numFmtId="4" xfId="0" applyAlignment="1" applyBorder="1" applyFont="1" applyNumberFormat="1">
      <alignment readingOrder="0"/>
    </xf>
    <xf borderId="6" fillId="0" fontId="6" numFmtId="168" xfId="0" applyBorder="1" applyFont="1" applyNumberFormat="1"/>
    <xf borderId="0" fillId="0" fontId="3" numFmtId="0" xfId="0" applyAlignment="1" applyFont="1">
      <alignment readingOrder="0"/>
    </xf>
    <xf borderId="5" fillId="0" fontId="3" numFmtId="4" xfId="0" applyAlignment="1" applyBorder="1" applyFont="1" applyNumberFormat="1">
      <alignment readingOrder="0"/>
    </xf>
    <xf borderId="5" fillId="0" fontId="6" numFmtId="169" xfId="0" applyBorder="1" applyFont="1" applyNumberFormat="1"/>
    <xf borderId="7" fillId="0" fontId="14" numFmtId="0" xfId="0" applyBorder="1" applyFont="1"/>
    <xf borderId="7" fillId="0" fontId="14" numFmtId="0" xfId="0" applyAlignment="1" applyBorder="1" applyFont="1">
      <alignment readingOrder="0"/>
    </xf>
    <xf borderId="8" fillId="0" fontId="6" numFmtId="169" xfId="0" applyAlignment="1" applyBorder="1" applyFont="1" applyNumberFormat="1">
      <alignment readingOrder="0"/>
    </xf>
    <xf borderId="9" fillId="0" fontId="6" numFmtId="168" xfId="0" applyAlignment="1" applyBorder="1" applyFont="1" applyNumberFormat="1">
      <alignment readingOrder="0"/>
    </xf>
    <xf borderId="4" fillId="0" fontId="14" numFmtId="0" xfId="0" applyAlignment="1" applyBorder="1" applyFont="1">
      <alignment readingOrder="0"/>
    </xf>
    <xf borderId="5" fillId="0" fontId="6" numFmtId="169" xfId="0" applyAlignment="1" applyBorder="1" applyFont="1" applyNumberFormat="1">
      <alignment readingOrder="0"/>
    </xf>
    <xf borderId="6" fillId="0" fontId="6" numFmtId="168" xfId="0" applyAlignment="1" applyBorder="1" applyFont="1" applyNumberFormat="1">
      <alignment readingOrder="0"/>
    </xf>
    <xf borderId="10" fillId="0" fontId="14" numFmtId="0" xfId="0" applyAlignment="1" applyBorder="1" applyFont="1">
      <alignment readingOrder="0"/>
    </xf>
    <xf borderId="11" fillId="0" fontId="6" numFmtId="169" xfId="0" applyAlignment="1" applyBorder="1" applyFont="1" applyNumberFormat="1">
      <alignment readingOrder="0"/>
    </xf>
    <xf borderId="11" fillId="0" fontId="9" numFmtId="4" xfId="0" applyAlignment="1" applyBorder="1" applyFont="1" applyNumberFormat="1">
      <alignment readingOrder="0"/>
    </xf>
    <xf borderId="12" fillId="0" fontId="6" numFmtId="168" xfId="0" applyBorder="1" applyFont="1" applyNumberFormat="1"/>
    <xf borderId="13" fillId="0" fontId="15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 vertical="bottom"/>
    </xf>
    <xf borderId="2" fillId="0" fontId="4" numFmtId="170" xfId="0" applyAlignment="1" applyBorder="1" applyFont="1" applyNumberFormat="1">
      <alignment horizontal="left" readingOrder="0" shrinkToFit="0" wrapText="1"/>
    </xf>
    <xf borderId="2" fillId="0" fontId="4" numFmtId="0" xfId="0" applyAlignment="1" applyBorder="1" applyFont="1">
      <alignment horizontal="left" shrinkToFit="0" wrapText="1"/>
    </xf>
    <xf borderId="2" fillId="0" fontId="4" numFmtId="0" xfId="0" applyAlignment="1" applyBorder="1" applyFont="1">
      <alignment horizontal="left" readingOrder="0" shrinkToFit="0" wrapText="1"/>
    </xf>
    <xf borderId="3" fillId="0" fontId="4" numFmtId="0" xfId="0" applyAlignment="1" applyBorder="1" applyFont="1">
      <alignment horizontal="left" readingOrder="0" shrinkToFit="0" wrapText="1"/>
    </xf>
    <xf borderId="0" fillId="0" fontId="16" numFmtId="0" xfId="0" applyFont="1"/>
    <xf borderId="4" fillId="0" fontId="4" numFmtId="0" xfId="0" applyAlignment="1" applyBorder="1" applyFont="1">
      <alignment readingOrder="0" vertical="bottom"/>
    </xf>
    <xf borderId="5" fillId="8" fontId="3" numFmtId="170" xfId="0" applyAlignment="1" applyBorder="1" applyFont="1" applyNumberFormat="1">
      <alignment horizontal="right" vertical="bottom"/>
    </xf>
    <xf borderId="5" fillId="6" fontId="3" numFmtId="167" xfId="0" applyAlignment="1" applyBorder="1" applyFont="1" applyNumberFormat="1">
      <alignment horizontal="right" vertical="bottom"/>
    </xf>
    <xf borderId="5" fillId="0" fontId="3" numFmtId="2" xfId="0" applyAlignment="1" applyBorder="1" applyFont="1" applyNumberFormat="1">
      <alignment horizontal="right" vertical="bottom"/>
    </xf>
    <xf borderId="5" fillId="0" fontId="17" numFmtId="167" xfId="0" applyAlignment="1" applyBorder="1" applyFont="1" applyNumberFormat="1">
      <alignment horizontal="right" shrinkToFit="0" vertical="bottom" wrapText="1"/>
    </xf>
    <xf borderId="6" fillId="0" fontId="3" numFmtId="167" xfId="0" applyAlignment="1" applyBorder="1" applyFont="1" applyNumberFormat="1">
      <alignment horizontal="right" vertical="bottom"/>
    </xf>
    <xf borderId="0" fillId="0" fontId="16" numFmtId="4" xfId="0" applyFont="1" applyNumberFormat="1"/>
    <xf borderId="0" fillId="0" fontId="16" numFmtId="168" xfId="0" applyFont="1" applyNumberFormat="1"/>
    <xf borderId="10" fillId="3" fontId="4" numFmtId="0" xfId="0" applyAlignment="1" applyBorder="1" applyFont="1">
      <alignment vertical="bottom"/>
    </xf>
    <xf borderId="11" fillId="3" fontId="4" numFmtId="170" xfId="0" applyAlignment="1" applyBorder="1" applyFont="1" applyNumberFormat="1">
      <alignment horizontal="right" vertical="bottom"/>
    </xf>
    <xf borderId="11" fillId="3" fontId="4" numFmtId="167" xfId="0" applyAlignment="1" applyBorder="1" applyFont="1" applyNumberFormat="1">
      <alignment horizontal="right" vertical="bottom"/>
    </xf>
    <xf borderId="11" fillId="3" fontId="4" numFmtId="2" xfId="0" applyAlignment="1" applyBorder="1" applyFont="1" applyNumberFormat="1">
      <alignment horizontal="right" vertical="bottom"/>
    </xf>
    <xf borderId="11" fillId="3" fontId="18" numFmtId="2" xfId="0" applyAlignment="1" applyBorder="1" applyFont="1" applyNumberFormat="1">
      <alignment horizontal="right" shrinkToFit="0" vertical="bottom" wrapText="1"/>
    </xf>
    <xf borderId="11" fillId="3" fontId="18" numFmtId="167" xfId="0" applyAlignment="1" applyBorder="1" applyFont="1" applyNumberFormat="1">
      <alignment horizontal="right" shrinkToFit="0" vertical="bottom" wrapText="1"/>
    </xf>
    <xf borderId="12" fillId="3" fontId="18" numFmtId="167" xfId="0" applyAlignment="1" applyBorder="1" applyFont="1" applyNumberFormat="1">
      <alignment horizontal="right" shrinkToFit="0" vertical="bottom" wrapText="1"/>
    </xf>
    <xf borderId="0" fillId="0" fontId="19" numFmtId="0" xfId="0" applyAlignment="1" applyFont="1">
      <alignment vertical="bottom"/>
    </xf>
    <xf borderId="0" fillId="0" fontId="19" numFmtId="170" xfId="0" applyAlignment="1" applyFont="1" applyNumberFormat="1">
      <alignment horizontal="right" vertical="bottom"/>
    </xf>
    <xf borderId="0" fillId="0" fontId="19" numFmtId="167" xfId="0" applyAlignment="1" applyFont="1" applyNumberFormat="1">
      <alignment horizontal="right" vertical="bottom"/>
    </xf>
    <xf borderId="0" fillId="0" fontId="19" numFmtId="2" xfId="0" applyAlignment="1" applyFont="1" applyNumberFormat="1">
      <alignment horizontal="right" vertical="bottom"/>
    </xf>
    <xf borderId="0" fillId="0" fontId="20" numFmtId="167" xfId="0" applyAlignment="1" applyFont="1" applyNumberFormat="1">
      <alignment horizontal="right" shrinkToFit="0" vertical="bottom" wrapText="1"/>
    </xf>
    <xf borderId="0" fillId="0" fontId="19" numFmtId="0" xfId="0" applyAlignment="1" applyFont="1">
      <alignment readingOrder="0" vertical="bottom"/>
    </xf>
    <xf borderId="0" fillId="9" fontId="21" numFmtId="0" xfId="0" applyAlignment="1" applyFill="1" applyFont="1">
      <alignment horizontal="right" vertical="bottom"/>
    </xf>
    <xf borderId="0" fillId="9" fontId="22" numFmtId="170" xfId="0" applyAlignment="1" applyFont="1" applyNumberFormat="1">
      <alignment horizontal="right" vertical="bottom"/>
    </xf>
    <xf borderId="0" fillId="9" fontId="22" numFmtId="167" xfId="0" applyAlignment="1" applyFont="1" applyNumberFormat="1">
      <alignment horizontal="right" vertical="bottom"/>
    </xf>
    <xf borderId="0" fillId="9" fontId="21" numFmtId="2" xfId="0" applyAlignment="1" applyFont="1" applyNumberFormat="1">
      <alignment horizontal="right" vertical="bottom"/>
    </xf>
    <xf borderId="0" fillId="9" fontId="21" numFmtId="167" xfId="0" applyAlignment="1" applyFont="1" applyNumberFormat="1">
      <alignment horizontal="right" vertical="bottom"/>
    </xf>
    <xf borderId="0" fillId="9" fontId="21" numFmtId="170" xfId="0" applyAlignment="1" applyFont="1" applyNumberFormat="1">
      <alignment horizontal="right" vertical="bottom"/>
    </xf>
    <xf borderId="0" fillId="9" fontId="22" numFmtId="0" xfId="0" applyAlignment="1" applyFont="1">
      <alignment horizontal="right" vertical="bottom"/>
    </xf>
    <xf borderId="0" fillId="8" fontId="14" numFmtId="0" xfId="0" applyAlignment="1" applyFont="1">
      <alignment readingOrder="0" shrinkToFit="0" wrapText="1"/>
    </xf>
    <xf borderId="0" fillId="8" fontId="14" numFmtId="4" xfId="0" applyAlignment="1" applyFont="1" applyNumberFormat="1">
      <alignment readingOrder="0" shrinkToFit="0" wrapText="1"/>
    </xf>
    <xf borderId="0" fillId="8" fontId="23" numFmtId="0" xfId="0" applyAlignment="1" applyFont="1">
      <alignment shrinkToFit="0" wrapText="1"/>
    </xf>
    <xf borderId="0" fillId="8" fontId="6" numFmtId="4" xfId="0" applyAlignment="1" applyFont="1" applyNumberFormat="1">
      <alignment shrinkToFit="0" wrapText="1"/>
    </xf>
    <xf borderId="14" fillId="9" fontId="24" numFmtId="0" xfId="0" applyAlignment="1" applyBorder="1" applyFont="1">
      <alignment horizontal="right" shrinkToFit="0" vertical="bottom" wrapText="1"/>
    </xf>
    <xf borderId="15" fillId="0" fontId="24" numFmtId="167" xfId="0" applyAlignment="1" applyBorder="1" applyFont="1" applyNumberFormat="1">
      <alignment horizontal="right" shrinkToFit="0" vertical="bottom" wrapText="1"/>
    </xf>
    <xf borderId="16" fillId="0" fontId="24" numFmtId="167" xfId="0" applyAlignment="1" applyBorder="1" applyFont="1" applyNumberFormat="1">
      <alignment horizontal="right" shrinkToFit="0" vertical="bottom" wrapText="1"/>
    </xf>
    <xf borderId="0" fillId="3" fontId="24" numFmtId="167" xfId="0" applyAlignment="1" applyFont="1" applyNumberFormat="1">
      <alignment horizontal="right" shrinkToFit="0" vertical="bottom" wrapText="1"/>
    </xf>
    <xf borderId="0" fillId="0" fontId="24" numFmtId="0" xfId="0" applyAlignment="1" applyFont="1">
      <alignment horizontal="right" shrinkToFit="0" vertical="bottom" wrapText="1"/>
    </xf>
    <xf borderId="0" fillId="0" fontId="20" numFmtId="167" xfId="0" applyAlignment="1" applyFont="1" applyNumberFormat="1">
      <alignment horizontal="right" readingOrder="0" shrinkToFit="0" vertical="bottom" wrapText="1"/>
    </xf>
    <xf borderId="0" fillId="3" fontId="24" numFmtId="167" xfId="0" applyAlignment="1" applyFont="1" applyNumberFormat="1">
      <alignment horizontal="right" readingOrder="0" shrinkToFit="0" vertical="bottom" wrapText="1"/>
    </xf>
    <xf borderId="0" fillId="3" fontId="25" numFmtId="167" xfId="0" applyAlignment="1" applyFont="1" applyNumberFormat="1">
      <alignment horizontal="right" shrinkToFit="0" vertical="bottom" wrapText="1"/>
    </xf>
    <xf borderId="0" fillId="0" fontId="24" numFmtId="0" xfId="0" applyAlignment="1" applyFont="1">
      <alignment horizontal="right" shrinkToFit="0" vertical="bottom" wrapText="1"/>
    </xf>
    <xf borderId="0" fillId="0" fontId="19" numFmtId="0" xfId="0" applyAlignment="1" applyFont="1">
      <alignment horizontal="right" readingOrder="0" vertical="bottom"/>
    </xf>
    <xf borderId="0" fillId="0" fontId="19" numFmtId="169" xfId="0" applyAlignment="1" applyFont="1" applyNumberFormat="1">
      <alignment horizontal="right" vertical="bottom"/>
    </xf>
    <xf borderId="0" fillId="0" fontId="19" numFmtId="169" xfId="0" applyAlignment="1" applyFont="1" applyNumberFormat="1">
      <alignment readingOrder="0" vertical="bottom"/>
    </xf>
    <xf borderId="0" fillId="0" fontId="19" numFmtId="4" xfId="0" applyAlignment="1" applyFont="1" applyNumberFormat="1">
      <alignment readingOrder="0" vertical="bottom"/>
    </xf>
    <xf borderId="0" fillId="3" fontId="24" numFmtId="169" xfId="0" applyAlignment="1" applyFont="1" applyNumberFormat="1">
      <alignment readingOrder="0" vertical="bottom"/>
    </xf>
    <xf borderId="0" fillId="0" fontId="24" numFmtId="0" xfId="0" applyAlignment="1" applyFont="1">
      <alignment horizontal="right" readingOrder="0" shrinkToFit="0" vertical="bottom" wrapText="1"/>
    </xf>
    <xf borderId="0" fillId="0" fontId="16" numFmtId="0" xfId="0" applyAlignment="1" applyFont="1">
      <alignment readingOrder="0"/>
    </xf>
    <xf borderId="0" fillId="0" fontId="16" numFmtId="169" xfId="0" applyAlignment="1" applyFont="1" applyNumberFormat="1">
      <alignment readingOrder="0"/>
    </xf>
    <xf borderId="0" fillId="0" fontId="16" numFmtId="4" xfId="0" applyAlignment="1" applyFont="1" applyNumberFormat="1">
      <alignment readingOrder="0"/>
    </xf>
    <xf borderId="0" fillId="6" fontId="16" numFmtId="169" xfId="0" applyAlignment="1" applyFont="1" applyNumberFormat="1">
      <alignment readingOrder="0"/>
    </xf>
    <xf borderId="0" fillId="8" fontId="26" numFmtId="0" xfId="0" applyFont="1"/>
    <xf borderId="0" fillId="6" fontId="26" numFmtId="0" xfId="0" applyFont="1"/>
    <xf borderId="0" fillId="6" fontId="26" numFmtId="0" xfId="0" applyAlignment="1" applyFont="1">
      <alignment readingOrder="0"/>
    </xf>
    <xf borderId="0" fillId="6" fontId="26" numFmtId="167" xfId="0" applyFont="1" applyNumberFormat="1"/>
    <xf borderId="0" fillId="6" fontId="16" numFmtId="167" xfId="0" applyFont="1" applyNumberFormat="1"/>
    <xf borderId="0" fillId="6" fontId="16" numFmtId="169" xfId="0" applyFont="1" applyNumberFormat="1"/>
    <xf borderId="0" fillId="6" fontId="16" numFmtId="4" xfId="0" applyFont="1" applyNumberFormat="1"/>
    <xf borderId="0" fillId="6" fontId="19" numFmtId="169" xfId="0" applyAlignment="1" applyFont="1" applyNumberFormat="1">
      <alignment readingOrder="0" vertical="bottom"/>
    </xf>
    <xf borderId="8" fillId="0" fontId="6" numFmtId="0" xfId="0" applyAlignment="1" applyBorder="1" applyFont="1">
      <alignment readingOrder="0"/>
    </xf>
    <xf borderId="8" fillId="0" fontId="9" numFmtId="4" xfId="0" applyAlignment="1" applyBorder="1" applyFont="1" applyNumberFormat="1">
      <alignment readingOrder="0"/>
    </xf>
    <xf borderId="11" fillId="0" fontId="6" numFmtId="0" xfId="0" applyAlignment="1" applyBorder="1" applyFont="1">
      <alignment readingOrder="0"/>
    </xf>
    <xf borderId="0" fillId="0" fontId="1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9" numFmtId="4" xfId="0" applyAlignment="1" applyFont="1" applyNumberFormat="1">
      <alignment readingOrder="0"/>
    </xf>
    <xf borderId="0" fillId="0" fontId="6" numFmtId="168" xfId="0" applyFont="1" applyNumberFormat="1"/>
    <xf borderId="0" fillId="8" fontId="26" numFmtId="0" xfId="0" applyAlignment="1" applyFont="1">
      <alignment readingOrder="0" vertical="top"/>
    </xf>
    <xf borderId="0" fillId="8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29" numFmtId="0" xfId="0" applyFont="1"/>
    <xf borderId="0" fillId="0" fontId="29" numFmtId="168" xfId="0" applyAlignment="1" applyFont="1" applyNumberFormat="1">
      <alignment horizontal="left" readingOrder="0" vertical="bottom"/>
    </xf>
    <xf borderId="0" fillId="0" fontId="29" numFmtId="0" xfId="0" applyFont="1"/>
    <xf borderId="0" fillId="0" fontId="29" numFmtId="168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Zvýšení teploty v ČR v jednotlivých měsících od roku 1961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'Shrnutí'!$F$97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'Shrnutí'!$B$98:$B$110</c:f>
            </c:strRef>
          </c:cat>
          <c:val>
            <c:numRef>
              <c:f>'Shrnutí'!$F$98:$F$110</c:f>
              <c:numCache/>
            </c:numRef>
          </c:val>
        </c:ser>
        <c:axId val="1413249366"/>
        <c:axId val="729564290"/>
      </c:barChart>
      <c:catAx>
        <c:axId val="1413249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9564290"/>
      </c:catAx>
      <c:valAx>
        <c:axId val="7295642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 °C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32493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Trend oteplení za dekádu v jednotlivých měsících od roku 1961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'Shrnutí'!$E$97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'Shrnutí'!$B$98:$B$110</c:f>
            </c:strRef>
          </c:cat>
          <c:val>
            <c:numRef>
              <c:f>'Shrnutí'!$E$98:$E$110</c:f>
              <c:numCache/>
            </c:numRef>
          </c:val>
        </c:ser>
        <c:axId val="354369488"/>
        <c:axId val="526357863"/>
      </c:barChart>
      <c:catAx>
        <c:axId val="354369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6357863"/>
      </c:catAx>
      <c:valAx>
        <c:axId val="5263578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 °C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43694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Průměrná teplota v ČR v jednotlivých měsících – srovnání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'Shrnutí'!$G$97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'Shrnutí'!$B$98:$B$110</c:f>
            </c:strRef>
          </c:cat>
          <c:val>
            <c:numRef>
              <c:f>'Shrnutí'!$G$98:$G$110</c:f>
              <c:numCache/>
            </c:numRef>
          </c:val>
        </c:ser>
        <c:ser>
          <c:idx val="1"/>
          <c:order val="1"/>
          <c:tx>
            <c:v>Průměrná teplota měsíce v letech 2014–2023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'Shrnutí'!$B$98:$B$110</c:f>
            </c:strRef>
          </c:cat>
          <c:val>
            <c:numRef>
              <c:f>'Shrnutí'!$H$98:$H$110</c:f>
              <c:numCache/>
            </c:numRef>
          </c:val>
        </c:ser>
        <c:axId val="732394271"/>
        <c:axId val="1256818460"/>
      </c:areaChart>
      <c:catAx>
        <c:axId val="732394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6818460"/>
      </c:catAx>
      <c:valAx>
        <c:axId val="1256818460"/>
        <c:scaling>
          <c:orientation val="minMax"/>
          <c:max val="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23942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Zvýšení teploty v ČR v jednotlivých měsících od roku 1961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'Předběžná teplota 2025 Shrnutí'!$F$99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'Předběžná teplota 2025 Shrnutí'!$B$100:$B$112</c:f>
            </c:strRef>
          </c:cat>
          <c:val>
            <c:numRef>
              <c:f>'Předběžná teplota 2025 Shrnutí'!$F$100:$F$112</c:f>
              <c:numCache/>
            </c:numRef>
          </c:val>
        </c:ser>
        <c:axId val="1295482755"/>
        <c:axId val="748313580"/>
      </c:barChart>
      <c:catAx>
        <c:axId val="1295482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313580"/>
      </c:catAx>
      <c:valAx>
        <c:axId val="748313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 °C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4827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Trend oteplení za dekádu v jednotlivých měsících od roku 1961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'Předběžná teplota 2025 Shrnutí'!$E$99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'Předběžná teplota 2025 Shrnutí'!$B$100:$B$112</c:f>
            </c:strRef>
          </c:cat>
          <c:val>
            <c:numRef>
              <c:f>'Předběžná teplota 2025 Shrnutí'!$E$100:$E$112</c:f>
              <c:numCache/>
            </c:numRef>
          </c:val>
        </c:ser>
        <c:axId val="1202788009"/>
        <c:axId val="488684093"/>
      </c:barChart>
      <c:catAx>
        <c:axId val="12027880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8684093"/>
      </c:catAx>
      <c:valAx>
        <c:axId val="4886840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 °C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27880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Průměrná teplota v ČR v jednotlivých měsících – srovnání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'Předběžná teplota 2025 Shrnutí'!$G$99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'Předběžná teplota 2025 Shrnutí'!$B$100:$B$112</c:f>
            </c:strRef>
          </c:cat>
          <c:val>
            <c:numRef>
              <c:f>'Předběžná teplota 2025 Shrnutí'!$G$100:$G$112</c:f>
              <c:numCache/>
            </c:numRef>
          </c:val>
        </c:ser>
        <c:ser>
          <c:idx val="1"/>
          <c:order val="1"/>
          <c:tx>
            <c:v>Průměrná teplota měsíce v letech 2014–2023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'Předběžná teplota 2025 Shrnutí'!$B$100:$B$112</c:f>
            </c:strRef>
          </c:cat>
          <c:val>
            <c:numRef>
              <c:f>'Předběžná teplota 2025 Shrnutí'!$H$100:$H$112</c:f>
              <c:numCache/>
            </c:numRef>
          </c:val>
        </c:ser>
        <c:axId val="620794875"/>
        <c:axId val="49544425"/>
      </c:areaChart>
      <c:catAx>
        <c:axId val="6207948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544425"/>
      </c:catAx>
      <c:valAx>
        <c:axId val="49544425"/>
        <c:scaling>
          <c:orientation val="minMax"/>
          <c:max val="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07948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27</xdr:row>
      <xdr:rowOff>0</xdr:rowOff>
    </xdr:from>
    <xdr:ext cx="6467475" cy="3990975"/>
    <xdr:pic>
      <xdr:nvPicPr>
        <xdr:cNvPr id="466798183" name="Chart1" title="Graf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112</xdr:row>
      <xdr:rowOff>66675</xdr:rowOff>
    </xdr:from>
    <xdr:ext cx="4124325" cy="2562225"/>
    <xdr:graphicFrame>
      <xdr:nvGraphicFramePr>
        <xdr:cNvPr id="2" name="Chart 2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733425</xdr:colOff>
      <xdr:row>112</xdr:row>
      <xdr:rowOff>66675</xdr:rowOff>
    </xdr:from>
    <xdr:ext cx="4067175" cy="2562225"/>
    <xdr:graphicFrame>
      <xdr:nvGraphicFramePr>
        <xdr:cNvPr id="3" name="Chart 3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285750</xdr:colOff>
      <xdr:row>112</xdr:row>
      <xdr:rowOff>66675</xdr:rowOff>
    </xdr:from>
    <xdr:ext cx="5457825" cy="3352800"/>
    <xdr:graphicFrame>
      <xdr:nvGraphicFramePr>
        <xdr:cNvPr id="4" name="Chart 4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27</xdr:row>
      <xdr:rowOff>0</xdr:rowOff>
    </xdr:from>
    <xdr:ext cx="6467475" cy="3990975"/>
    <xdr:pic>
      <xdr:nvPicPr>
        <xdr:cNvPr id="711986647" name="Chart5" title="Graf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114</xdr:row>
      <xdr:rowOff>66675</xdr:rowOff>
    </xdr:from>
    <xdr:ext cx="4124325" cy="2562225"/>
    <xdr:graphicFrame>
      <xdr:nvGraphicFramePr>
        <xdr:cNvPr id="6" name="Chart 6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733425</xdr:colOff>
      <xdr:row>114</xdr:row>
      <xdr:rowOff>66675</xdr:rowOff>
    </xdr:from>
    <xdr:ext cx="4067175" cy="2562225"/>
    <xdr:graphicFrame>
      <xdr:nvGraphicFramePr>
        <xdr:cNvPr id="7" name="Chart 7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285750</xdr:colOff>
      <xdr:row>114</xdr:row>
      <xdr:rowOff>66675</xdr:rowOff>
    </xdr:from>
    <xdr:ext cx="5457825" cy="3352800"/>
    <xdr:graphicFrame>
      <xdr:nvGraphicFramePr>
        <xdr:cNvPr id="8" name="Chart 8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ktaoklimatu.cz/infografiky/teplota-cr" TargetMode="External"/><Relationship Id="rId2" Type="http://schemas.openxmlformats.org/officeDocument/2006/relationships/hyperlink" Target="https://faktaoklimatu.cz/jak-pouzivat" TargetMode="External"/><Relationship Id="rId3" Type="http://schemas.openxmlformats.org/officeDocument/2006/relationships/hyperlink" Target="http://portal.chmi.cz/historicka-data/pocasi/uzemni-teploty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aktaoklimatu.cz/infografiky/teplota-cr" TargetMode="External"/><Relationship Id="rId2" Type="http://schemas.openxmlformats.org/officeDocument/2006/relationships/hyperlink" Target="https://faktaoklimatu.cz/jak-pouzivat" TargetMode="External"/><Relationship Id="rId3" Type="http://schemas.openxmlformats.org/officeDocument/2006/relationships/hyperlink" Target="http://portal.chmi.cz/historicka-data/pocasi/uzemni-teploty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45.13"/>
    <col customWidth="1" min="3" max="10" width="15.13"/>
    <col customWidth="1" min="11" max="33" width="15.25"/>
  </cols>
  <sheetData>
    <row r="1">
      <c r="A1" s="1"/>
      <c r="B1" s="2" t="s">
        <v>0</v>
      </c>
      <c r="C1" s="1"/>
      <c r="D1" s="1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4"/>
      <c r="B2" s="5" t="s">
        <v>1</v>
      </c>
      <c r="C2" s="5" t="s">
        <v>2</v>
      </c>
      <c r="D2" s="5" t="s">
        <v>3</v>
      </c>
      <c r="E2" s="6" t="s">
        <v>4</v>
      </c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4"/>
      <c r="B3" s="7" t="s">
        <v>5</v>
      </c>
      <c r="C3" s="8">
        <v>45662.0</v>
      </c>
      <c r="D3" s="9" t="s">
        <v>6</v>
      </c>
      <c r="E3" s="10" t="s">
        <v>7</v>
      </c>
      <c r="F3" s="1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11"/>
      <c r="B4" s="11" t="str">
        <f>IF(ISERR(FIND("neaktuální", C2)), "", "Toto je neaktuální verze datasetu. Aktuální verzi naleznete na stránce výše.")</f>
        <v/>
      </c>
      <c r="C4" s="11"/>
      <c r="D4" s="11"/>
      <c r="E4" s="12"/>
      <c r="F4" s="12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>
      <c r="A5" s="11"/>
      <c r="B5" s="13" t="s">
        <v>8</v>
      </c>
      <c r="C5" s="11"/>
      <c r="D5" s="11"/>
      <c r="E5" s="12"/>
      <c r="F5" s="12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>
      <c r="A6" s="11"/>
      <c r="B6" s="14">
        <v>45662.0</v>
      </c>
      <c r="C6" s="15" t="s">
        <v>9</v>
      </c>
      <c r="D6" s="11"/>
      <c r="E6" s="12"/>
      <c r="F6" s="12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>
      <c r="A7" s="11"/>
      <c r="B7" s="14">
        <v>45295.0</v>
      </c>
      <c r="C7" s="15" t="s">
        <v>10</v>
      </c>
      <c r="D7" s="11"/>
      <c r="E7" s="12"/>
      <c r="F7" s="12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>
      <c r="A8" s="11"/>
      <c r="B8" s="14">
        <v>45162.0</v>
      </c>
      <c r="C8" s="15" t="s">
        <v>11</v>
      </c>
      <c r="D8" s="11"/>
      <c r="E8" s="12"/>
      <c r="F8" s="12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>
      <c r="A9" s="11"/>
      <c r="B9" s="14">
        <v>43904.0</v>
      </c>
      <c r="C9" s="15" t="s">
        <v>12</v>
      </c>
      <c r="D9" s="11"/>
      <c r="E9" s="12"/>
      <c r="F9" s="12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>
      <c r="A10" s="11"/>
      <c r="B10" s="14">
        <v>44572.0</v>
      </c>
      <c r="C10" s="15" t="s">
        <v>13</v>
      </c>
      <c r="D10" s="11"/>
      <c r="E10" s="12"/>
      <c r="F10" s="12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>
      <c r="A11" s="11"/>
      <c r="B11" s="14">
        <v>44254.0</v>
      </c>
      <c r="C11" s="15" t="s">
        <v>14</v>
      </c>
      <c r="D11" s="11"/>
      <c r="E11" s="12"/>
      <c r="F11" s="12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>
      <c r="A12" s="11"/>
      <c r="B12" s="14">
        <v>43866.0</v>
      </c>
      <c r="C12" s="11" t="s">
        <v>15</v>
      </c>
      <c r="D12" s="11"/>
      <c r="E12" s="12"/>
      <c r="F12" s="12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>
      <c r="A13" s="11"/>
      <c r="B13" s="16"/>
      <c r="C13" s="11"/>
      <c r="D13" s="11"/>
      <c r="E13" s="12"/>
      <c r="F13" s="12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>
      <c r="A14" s="17" t="s">
        <v>16</v>
      </c>
      <c r="B14" s="18" t="s">
        <v>17</v>
      </c>
      <c r="C14" s="19"/>
      <c r="D14" s="19"/>
      <c r="E14" s="20"/>
      <c r="F14" s="20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>
      <c r="A15" s="21"/>
      <c r="B15" s="22" t="s">
        <v>18</v>
      </c>
      <c r="C15" s="23" t="s">
        <v>19</v>
      </c>
      <c r="D15" s="22" t="s">
        <v>20</v>
      </c>
      <c r="E15" s="24" t="s">
        <v>21</v>
      </c>
      <c r="F15" s="25" t="s">
        <v>22</v>
      </c>
      <c r="I15" s="24" t="s">
        <v>23</v>
      </c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>
      <c r="A16" s="26"/>
      <c r="B16" s="26"/>
      <c r="C16" s="26"/>
      <c r="D16" s="26"/>
      <c r="E16" s="27"/>
      <c r="F16" s="27"/>
      <c r="G16" s="27"/>
      <c r="H16" s="27"/>
      <c r="I16" s="27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</row>
    <row r="17">
      <c r="A17" s="28">
        <v>1.0</v>
      </c>
      <c r="B17" s="29" t="s">
        <v>24</v>
      </c>
      <c r="C17" s="30"/>
      <c r="D17" s="30"/>
      <c r="E17" s="31"/>
      <c r="F17" s="32"/>
      <c r="G17" s="32"/>
      <c r="H17" s="32"/>
      <c r="I17" s="32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</row>
    <row r="18">
      <c r="A18" s="26"/>
      <c r="B18" s="33" t="s">
        <v>24</v>
      </c>
      <c r="C18" s="34" t="s">
        <v>25</v>
      </c>
      <c r="D18" s="35" t="s">
        <v>26</v>
      </c>
      <c r="E18" s="36">
        <v>45662.0</v>
      </c>
      <c r="F18" s="37" t="s">
        <v>27</v>
      </c>
      <c r="I18" s="38" t="s">
        <v>28</v>
      </c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</row>
    <row r="19">
      <c r="A19" s="26"/>
      <c r="B19" s="26"/>
      <c r="C19" s="26"/>
      <c r="D19" s="26"/>
      <c r="E19" s="40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</row>
    <row r="20">
      <c r="A20" s="41" t="s">
        <v>29</v>
      </c>
      <c r="B20" s="42" t="s">
        <v>30</v>
      </c>
      <c r="C20" s="43"/>
      <c r="D20" s="43"/>
      <c r="E20" s="44"/>
      <c r="F20" s="44"/>
      <c r="G20" s="44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</row>
    <row r="21">
      <c r="A21" s="26"/>
      <c r="B21" s="26"/>
      <c r="C21" s="26"/>
      <c r="D21" s="26"/>
      <c r="E21" s="26"/>
      <c r="F21" s="26"/>
      <c r="G21" s="45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</row>
    <row r="22">
      <c r="A22" s="46">
        <v>3.0</v>
      </c>
      <c r="B22" s="29" t="s">
        <v>31</v>
      </c>
      <c r="C22" s="47"/>
      <c r="D22" s="48"/>
      <c r="E22" s="49"/>
      <c r="F22" s="49"/>
      <c r="G22" s="48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</row>
    <row r="23">
      <c r="A23" s="26"/>
      <c r="B23" s="34" t="s">
        <v>32</v>
      </c>
      <c r="C23" s="50"/>
      <c r="D23" s="51">
        <f t="array" ref="D23:D24">TRANSPOSE(LINEST('Vstup Měsíční teploty ČR'!N4:N67))</f>
        <v>0.03677197802</v>
      </c>
      <c r="E23" s="34"/>
      <c r="F23" s="52" t="s">
        <v>33</v>
      </c>
      <c r="G23" s="45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</row>
    <row r="24">
      <c r="A24" s="26"/>
      <c r="B24" s="34" t="s">
        <v>34</v>
      </c>
      <c r="C24" s="26"/>
      <c r="D24" s="53">
        <v>6.733035714285713</v>
      </c>
      <c r="E24" s="26"/>
      <c r="F24" s="52" t="s">
        <v>33</v>
      </c>
      <c r="G24" s="45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</row>
    <row r="25">
      <c r="A25" s="26"/>
      <c r="B25" s="26"/>
      <c r="C25" s="26"/>
      <c r="D25" s="26"/>
      <c r="E25" s="26"/>
      <c r="F25" s="26"/>
      <c r="G25" s="45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</row>
    <row r="26">
      <c r="A26" s="46">
        <v>4.0</v>
      </c>
      <c r="B26" s="29" t="s">
        <v>35</v>
      </c>
      <c r="C26" s="47"/>
      <c r="D26" s="48"/>
      <c r="E26" s="49"/>
      <c r="F26" s="49"/>
      <c r="G26" s="48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</row>
    <row r="27">
      <c r="A27" s="50"/>
      <c r="B27" s="54"/>
      <c r="C27" s="55"/>
      <c r="D27" s="50"/>
      <c r="E27" s="54"/>
      <c r="F27" s="56"/>
      <c r="G27" s="57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</row>
    <row r="28">
      <c r="A28" s="58"/>
      <c r="B28" s="59" t="s">
        <v>36</v>
      </c>
      <c r="C28" s="60" t="s">
        <v>37</v>
      </c>
      <c r="D28" s="61" t="s">
        <v>38</v>
      </c>
      <c r="E28" s="62" t="s">
        <v>31</v>
      </c>
      <c r="F28" s="63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</row>
    <row r="29">
      <c r="A29" s="50"/>
      <c r="B29" s="64">
        <f>'Vstup Měsíční teploty ČR'!$A4</f>
        <v>1961</v>
      </c>
      <c r="C29" s="65">
        <f>'Vstup Měsíční teploty ČR'!$N4</f>
        <v>7.9</v>
      </c>
      <c r="D29" s="66" t="s">
        <v>39</v>
      </c>
      <c r="E29" s="67">
        <f t="shared" ref="E29:E92" si="1">$D$24+$D$23*($B29-1961)</f>
        <v>6.733035714</v>
      </c>
      <c r="F29" s="57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</row>
    <row r="30">
      <c r="A30" s="50"/>
      <c r="B30" s="64">
        <f>'Vstup Měsíční teploty ČR'!A5</f>
        <v>1962</v>
      </c>
      <c r="C30" s="65">
        <f>'Vstup Měsíční teploty ČR'!$N5</f>
        <v>6.3</v>
      </c>
      <c r="D30" s="66" t="s">
        <v>39</v>
      </c>
      <c r="E30" s="67">
        <f t="shared" si="1"/>
        <v>6.769807692</v>
      </c>
      <c r="F30" s="57"/>
      <c r="G30" s="50"/>
      <c r="H30" s="50"/>
      <c r="I30" s="50"/>
      <c r="J30" s="50"/>
      <c r="K30" s="50"/>
      <c r="L30" s="68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</row>
    <row r="31">
      <c r="A31" s="50"/>
      <c r="B31" s="64">
        <f>'Vstup Měsíční teploty ČR'!A6</f>
        <v>1963</v>
      </c>
      <c r="C31" s="65">
        <f>'Vstup Měsíční teploty ČR'!$N6</f>
        <v>6.5</v>
      </c>
      <c r="D31" s="69">
        <f t="shared" ref="D31:D90" si="2">AVERAGE(C29:C33)</f>
        <v>6.8</v>
      </c>
      <c r="E31" s="67">
        <f t="shared" si="1"/>
        <v>6.80657967</v>
      </c>
      <c r="F31" s="50"/>
      <c r="G31" s="50"/>
      <c r="H31" s="50"/>
      <c r="I31" s="50"/>
      <c r="J31" s="50"/>
      <c r="K31" s="50"/>
      <c r="L31" s="68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</row>
    <row r="32">
      <c r="A32" s="50"/>
      <c r="B32" s="64">
        <f>'Vstup Měsíční teploty ČR'!A7</f>
        <v>1964</v>
      </c>
      <c r="C32" s="65">
        <f>'Vstup Měsíční teploty ČR'!$N7</f>
        <v>6.9</v>
      </c>
      <c r="D32" s="69">
        <f t="shared" si="2"/>
        <v>6.8</v>
      </c>
      <c r="E32" s="67">
        <f t="shared" si="1"/>
        <v>6.843351648</v>
      </c>
      <c r="F32" s="57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</row>
    <row r="33">
      <c r="A33" s="50"/>
      <c r="B33" s="64">
        <f>'Vstup Měsíční teploty ČR'!A8</f>
        <v>1965</v>
      </c>
      <c r="C33" s="65">
        <f>'Vstup Měsíční teploty ČR'!$N8</f>
        <v>6.4</v>
      </c>
      <c r="D33" s="69">
        <f t="shared" si="2"/>
        <v>7.14</v>
      </c>
      <c r="E33" s="67">
        <f t="shared" si="1"/>
        <v>6.880123626</v>
      </c>
      <c r="F33" s="57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</row>
    <row r="34">
      <c r="A34" s="50"/>
      <c r="B34" s="64">
        <f>'Vstup Měsíční teploty ČR'!A9</f>
        <v>1966</v>
      </c>
      <c r="C34" s="65">
        <f>'Vstup Měsíční teploty ČR'!$N9</f>
        <v>7.9</v>
      </c>
      <c r="D34" s="69">
        <f t="shared" si="2"/>
        <v>7.3</v>
      </c>
      <c r="E34" s="67">
        <f t="shared" si="1"/>
        <v>6.916895604</v>
      </c>
      <c r="F34" s="57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</row>
    <row r="35">
      <c r="A35" s="50"/>
      <c r="B35" s="64">
        <f>'Vstup Měsíční teploty ČR'!A10</f>
        <v>1967</v>
      </c>
      <c r="C35" s="65">
        <f>'Vstup Měsíční teploty ČR'!$N10</f>
        <v>8</v>
      </c>
      <c r="D35" s="69">
        <f t="shared" si="2"/>
        <v>7.3</v>
      </c>
      <c r="E35" s="67">
        <f t="shared" si="1"/>
        <v>6.953667582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</row>
    <row r="36">
      <c r="A36" s="50"/>
      <c r="B36" s="64">
        <f>'Vstup Měsíční teploty ČR'!A11</f>
        <v>1968</v>
      </c>
      <c r="C36" s="65">
        <f>'Vstup Měsíční teploty ČR'!$N11</f>
        <v>7.3</v>
      </c>
      <c r="D36" s="69">
        <f t="shared" si="2"/>
        <v>7.4</v>
      </c>
      <c r="E36" s="67">
        <f t="shared" si="1"/>
        <v>6.99043956</v>
      </c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</row>
    <row r="37">
      <c r="A37" s="50"/>
      <c r="B37" s="64">
        <f>'Vstup Měsíční teploty ČR'!A12</f>
        <v>1969</v>
      </c>
      <c r="C37" s="65">
        <f>'Vstup Měsíční teploty ČR'!$N12</f>
        <v>6.9</v>
      </c>
      <c r="D37" s="69">
        <f t="shared" si="2"/>
        <v>7.32</v>
      </c>
      <c r="E37" s="67">
        <f t="shared" si="1"/>
        <v>7.027211538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</row>
    <row r="38">
      <c r="A38" s="50"/>
      <c r="B38" s="64">
        <f>'Vstup Měsíční teploty ČR'!A13</f>
        <v>1970</v>
      </c>
      <c r="C38" s="65">
        <f>'Vstup Měsíční teploty ČR'!$N13</f>
        <v>6.9</v>
      </c>
      <c r="D38" s="69">
        <f t="shared" si="2"/>
        <v>7.16</v>
      </c>
      <c r="E38" s="67">
        <f t="shared" si="1"/>
        <v>7.063983516</v>
      </c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</row>
    <row r="39">
      <c r="A39" s="50"/>
      <c r="B39" s="64">
        <f>'Vstup Měsíční teploty ČR'!A14</f>
        <v>1971</v>
      </c>
      <c r="C39" s="65">
        <f>'Vstup Měsíční teploty ČR'!$N14</f>
        <v>7.5</v>
      </c>
      <c r="D39" s="69">
        <f t="shared" si="2"/>
        <v>7.14</v>
      </c>
      <c r="E39" s="67">
        <f t="shared" si="1"/>
        <v>7.100755495</v>
      </c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</row>
    <row r="40">
      <c r="A40" s="50"/>
      <c r="B40" s="64">
        <f>'Vstup Měsíční teploty ČR'!A15</f>
        <v>1972</v>
      </c>
      <c r="C40" s="65">
        <f>'Vstup Měsíční teploty ČR'!$N15</f>
        <v>7.2</v>
      </c>
      <c r="D40" s="69">
        <f t="shared" si="2"/>
        <v>7.34</v>
      </c>
      <c r="E40" s="67">
        <f t="shared" si="1"/>
        <v>7.137527473</v>
      </c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</row>
    <row r="41">
      <c r="A41" s="50"/>
      <c r="B41" s="64">
        <f>'Vstup Měsíční teploty ČR'!A16</f>
        <v>1973</v>
      </c>
      <c r="C41" s="65">
        <f>'Vstup Měsíční teploty ČR'!$N16</f>
        <v>7.2</v>
      </c>
      <c r="D41" s="69">
        <f t="shared" si="2"/>
        <v>7.56</v>
      </c>
      <c r="E41" s="67">
        <f t="shared" si="1"/>
        <v>7.174299451</v>
      </c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</row>
    <row r="42">
      <c r="A42" s="50"/>
      <c r="B42" s="64">
        <f>'Vstup Měsíční teploty ČR'!A17</f>
        <v>1974</v>
      </c>
      <c r="C42" s="65">
        <f>'Vstup Měsíční teploty ČR'!$N17</f>
        <v>7.9</v>
      </c>
      <c r="D42" s="69">
        <f t="shared" si="2"/>
        <v>7.52</v>
      </c>
      <c r="E42" s="67">
        <f t="shared" si="1"/>
        <v>7.211071429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</row>
    <row r="43">
      <c r="A43" s="50"/>
      <c r="B43" s="64">
        <f>'Vstup Měsíční teploty ČR'!A18</f>
        <v>1975</v>
      </c>
      <c r="C43" s="65">
        <f>'Vstup Měsíční teploty ČR'!$N18</f>
        <v>8</v>
      </c>
      <c r="D43" s="69">
        <f t="shared" si="2"/>
        <v>7.6</v>
      </c>
      <c r="E43" s="67">
        <f t="shared" si="1"/>
        <v>7.247843407</v>
      </c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</row>
    <row r="44">
      <c r="A44" s="50"/>
      <c r="B44" s="64">
        <f>'Vstup Měsíční teploty ČR'!A19</f>
        <v>1976</v>
      </c>
      <c r="C44" s="65">
        <f>'Vstup Měsíční teploty ČR'!$N19</f>
        <v>7.3</v>
      </c>
      <c r="D44" s="69">
        <f t="shared" si="2"/>
        <v>7.52</v>
      </c>
      <c r="E44" s="67">
        <f t="shared" si="1"/>
        <v>7.284615385</v>
      </c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</row>
    <row r="45">
      <c r="A45" s="50"/>
      <c r="B45" s="64">
        <f>'Vstup Měsíční teploty ČR'!A20</f>
        <v>1977</v>
      </c>
      <c r="C45" s="65">
        <f>'Vstup Měsíční teploty ČR'!$N20</f>
        <v>7.6</v>
      </c>
      <c r="D45" s="69">
        <f t="shared" si="2"/>
        <v>7.38</v>
      </c>
      <c r="E45" s="67">
        <f t="shared" si="1"/>
        <v>7.321387363</v>
      </c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</row>
    <row r="46">
      <c r="A46" s="50"/>
      <c r="B46" s="64">
        <f>'Vstup Měsíční teploty ČR'!A21</f>
        <v>1978</v>
      </c>
      <c r="C46" s="65">
        <f>'Vstup Měsíční teploty ČR'!$N21</f>
        <v>6.8</v>
      </c>
      <c r="D46" s="69">
        <f t="shared" si="2"/>
        <v>7.04</v>
      </c>
      <c r="E46" s="67">
        <f t="shared" si="1"/>
        <v>7.358159341</v>
      </c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</row>
    <row r="47">
      <c r="A47" s="50"/>
      <c r="B47" s="64">
        <f>'Vstup Měsíční teploty ČR'!A22</f>
        <v>1979</v>
      </c>
      <c r="C47" s="65">
        <f>'Vstup Měsíční teploty ČR'!$N22</f>
        <v>7.2</v>
      </c>
      <c r="D47" s="69">
        <f t="shared" si="2"/>
        <v>7.06</v>
      </c>
      <c r="E47" s="67">
        <f t="shared" si="1"/>
        <v>7.394931319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</row>
    <row r="48">
      <c r="A48" s="50"/>
      <c r="B48" s="64">
        <f>'Vstup Měsíční teploty ČR'!A23</f>
        <v>1980</v>
      </c>
      <c r="C48" s="65">
        <f>'Vstup Měsíční teploty ČR'!$N23</f>
        <v>6.3</v>
      </c>
      <c r="D48" s="69">
        <f t="shared" si="2"/>
        <v>7.1</v>
      </c>
      <c r="E48" s="67">
        <f t="shared" si="1"/>
        <v>7.431703297</v>
      </c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</row>
    <row r="49">
      <c r="A49" s="50"/>
      <c r="B49" s="64">
        <f>'Vstup Měsíční teploty ČR'!A24</f>
        <v>1981</v>
      </c>
      <c r="C49" s="65">
        <f>'Vstup Měsíční teploty ČR'!$N24</f>
        <v>7.4</v>
      </c>
      <c r="D49" s="69">
        <f t="shared" si="2"/>
        <v>7.38</v>
      </c>
      <c r="E49" s="67">
        <f t="shared" si="1"/>
        <v>7.468475275</v>
      </c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</row>
    <row r="50">
      <c r="A50" s="50"/>
      <c r="B50" s="64">
        <f>'Vstup Měsíční teploty ČR'!A25</f>
        <v>1982</v>
      </c>
      <c r="C50" s="65">
        <f>'Vstup Měsíční teploty ČR'!$N25</f>
        <v>7.8</v>
      </c>
      <c r="D50" s="69">
        <f t="shared" si="2"/>
        <v>7.34</v>
      </c>
      <c r="E50" s="67">
        <f t="shared" si="1"/>
        <v>7.505247253</v>
      </c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</row>
    <row r="51">
      <c r="A51" s="50"/>
      <c r="B51" s="64">
        <f>'Vstup Měsíční teploty ČR'!A26</f>
        <v>1983</v>
      </c>
      <c r="C51" s="65">
        <f>'Vstup Měsíční teploty ČR'!$N26</f>
        <v>8.2</v>
      </c>
      <c r="D51" s="69">
        <f t="shared" si="2"/>
        <v>7.38</v>
      </c>
      <c r="E51" s="67">
        <f t="shared" si="1"/>
        <v>7.542019231</v>
      </c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</row>
    <row r="52">
      <c r="A52" s="50"/>
      <c r="B52" s="64">
        <f>'Vstup Měsíční teploty ČR'!A27</f>
        <v>1984</v>
      </c>
      <c r="C52" s="65">
        <f>'Vstup Měsíční teploty ČR'!$N27</f>
        <v>7</v>
      </c>
      <c r="D52" s="69">
        <f t="shared" si="2"/>
        <v>7.34</v>
      </c>
      <c r="E52" s="67">
        <f t="shared" si="1"/>
        <v>7.578791209</v>
      </c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</row>
    <row r="53">
      <c r="A53" s="50"/>
      <c r="B53" s="64">
        <f>'Vstup Měsíční teploty ČR'!A28</f>
        <v>1985</v>
      </c>
      <c r="C53" s="65">
        <f>'Vstup Měsíční teploty ČR'!$N28</f>
        <v>6.5</v>
      </c>
      <c r="D53" s="69">
        <f t="shared" si="2"/>
        <v>7.1</v>
      </c>
      <c r="E53" s="67">
        <f t="shared" si="1"/>
        <v>7.615563187</v>
      </c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</row>
    <row r="54">
      <c r="A54" s="50"/>
      <c r="B54" s="64">
        <f>'Vstup Měsíční teploty ČR'!A29</f>
        <v>1986</v>
      </c>
      <c r="C54" s="65">
        <f>'Vstup Měsíční teploty ČR'!$N29</f>
        <v>7.2</v>
      </c>
      <c r="D54" s="69">
        <f t="shared" si="2"/>
        <v>7.04</v>
      </c>
      <c r="E54" s="67">
        <f t="shared" si="1"/>
        <v>7.652335165</v>
      </c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</row>
    <row r="55">
      <c r="A55" s="50"/>
      <c r="B55" s="64">
        <f>'Vstup Měsíční teploty ČR'!A30</f>
        <v>1987</v>
      </c>
      <c r="C55" s="65">
        <f>'Vstup Měsíční teploty ČR'!$N30</f>
        <v>6.6</v>
      </c>
      <c r="D55" s="69">
        <f t="shared" si="2"/>
        <v>7.32</v>
      </c>
      <c r="E55" s="67">
        <f t="shared" si="1"/>
        <v>7.689107143</v>
      </c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</row>
    <row r="56">
      <c r="A56" s="50"/>
      <c r="B56" s="64">
        <f>'Vstup Měsíční teploty ČR'!A31</f>
        <v>1988</v>
      </c>
      <c r="C56" s="65">
        <f>'Vstup Měsíční teploty ČR'!$N31</f>
        <v>7.9</v>
      </c>
      <c r="D56" s="69">
        <f t="shared" si="2"/>
        <v>7.7</v>
      </c>
      <c r="E56" s="67">
        <f t="shared" si="1"/>
        <v>7.725879121</v>
      </c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</row>
    <row r="57">
      <c r="A57" s="50"/>
      <c r="B57" s="64">
        <f>'Vstup Měsíční teploty ČR'!A32</f>
        <v>1989</v>
      </c>
      <c r="C57" s="65">
        <f>'Vstup Měsíční teploty ČR'!$N32</f>
        <v>8.4</v>
      </c>
      <c r="D57" s="69">
        <f t="shared" si="2"/>
        <v>7.7</v>
      </c>
      <c r="E57" s="67">
        <f t="shared" si="1"/>
        <v>7.762651099</v>
      </c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</row>
    <row r="58">
      <c r="A58" s="50"/>
      <c r="B58" s="64">
        <f>'Vstup Měsíční teploty ČR'!A33</f>
        <v>1990</v>
      </c>
      <c r="C58" s="65">
        <f>'Vstup Měsíční teploty ČR'!$N33</f>
        <v>8.4</v>
      </c>
      <c r="D58" s="69">
        <f t="shared" si="2"/>
        <v>8.1</v>
      </c>
      <c r="E58" s="67">
        <f t="shared" si="1"/>
        <v>7.799423077</v>
      </c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</row>
    <row r="59">
      <c r="A59" s="50"/>
      <c r="B59" s="64">
        <f>'Vstup Měsíční teploty ČR'!A34</f>
        <v>1991</v>
      </c>
      <c r="C59" s="65">
        <f>'Vstup Měsíční teploty ČR'!$N34</f>
        <v>7.2</v>
      </c>
      <c r="D59" s="69">
        <f t="shared" si="2"/>
        <v>8.04</v>
      </c>
      <c r="E59" s="67">
        <f t="shared" si="1"/>
        <v>7.836195055</v>
      </c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</row>
    <row r="60">
      <c r="A60" s="50"/>
      <c r="B60" s="64">
        <f>'Vstup Měsíční teploty ČR'!A35</f>
        <v>1992</v>
      </c>
      <c r="C60" s="65">
        <f>'Vstup Měsíční teploty ČR'!$N35</f>
        <v>8.6</v>
      </c>
      <c r="D60" s="69">
        <f t="shared" si="2"/>
        <v>8.14</v>
      </c>
      <c r="E60" s="67">
        <f t="shared" si="1"/>
        <v>7.872967033</v>
      </c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</row>
    <row r="61">
      <c r="A61" s="50"/>
      <c r="B61" s="64">
        <f>'Vstup Měsíční teploty ČR'!A36</f>
        <v>1993</v>
      </c>
      <c r="C61" s="65">
        <f>'Vstup Měsíční teploty ČR'!$N36</f>
        <v>7.6</v>
      </c>
      <c r="D61" s="69">
        <f t="shared" si="2"/>
        <v>8.04</v>
      </c>
      <c r="E61" s="67">
        <f t="shared" si="1"/>
        <v>7.909739011</v>
      </c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</row>
    <row r="62">
      <c r="A62" s="50"/>
      <c r="B62" s="64">
        <f>'Vstup Měsíční teploty ČR'!A37</f>
        <v>1994</v>
      </c>
      <c r="C62" s="65">
        <f>'Vstup Měsíční teploty ČR'!$N37</f>
        <v>8.9</v>
      </c>
      <c r="D62" s="69">
        <f t="shared" si="2"/>
        <v>7.86</v>
      </c>
      <c r="E62" s="67">
        <f t="shared" si="1"/>
        <v>7.946510989</v>
      </c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</row>
    <row r="63">
      <c r="A63" s="50"/>
      <c r="B63" s="64">
        <f>'Vstup Měsíční teploty ČR'!A38</f>
        <v>1995</v>
      </c>
      <c r="C63" s="65">
        <f>'Vstup Měsíční teploty ČR'!$N38</f>
        <v>7.9</v>
      </c>
      <c r="D63" s="69">
        <f t="shared" si="2"/>
        <v>7.66</v>
      </c>
      <c r="E63" s="67">
        <f t="shared" si="1"/>
        <v>7.983282967</v>
      </c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</row>
    <row r="64">
      <c r="A64" s="50"/>
      <c r="B64" s="64">
        <f>'Vstup Měsíční teploty ČR'!A39</f>
        <v>1996</v>
      </c>
      <c r="C64" s="65">
        <f>'Vstup Měsíční teploty ČR'!$N39</f>
        <v>6.3</v>
      </c>
      <c r="D64" s="69">
        <f t="shared" si="2"/>
        <v>7.78</v>
      </c>
      <c r="E64" s="67">
        <f t="shared" si="1"/>
        <v>8.020054945</v>
      </c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</row>
    <row r="65">
      <c r="A65" s="50"/>
      <c r="B65" s="64">
        <f>'Vstup Měsíční teploty ČR'!A40</f>
        <v>1997</v>
      </c>
      <c r="C65" s="65">
        <f>'Vstup Měsíční teploty ČR'!$N40</f>
        <v>7.6</v>
      </c>
      <c r="D65" s="69">
        <f t="shared" si="2"/>
        <v>7.68</v>
      </c>
      <c r="E65" s="67">
        <f t="shared" si="1"/>
        <v>8.056826923</v>
      </c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</row>
    <row r="66">
      <c r="A66" s="50"/>
      <c r="B66" s="64">
        <f>'Vstup Měsíční teploty ČR'!A41</f>
        <v>1998</v>
      </c>
      <c r="C66" s="65">
        <f>'Vstup Měsíční teploty ČR'!$N41</f>
        <v>8.2</v>
      </c>
      <c r="D66" s="69">
        <f t="shared" si="2"/>
        <v>7.92</v>
      </c>
      <c r="E66" s="67">
        <f t="shared" si="1"/>
        <v>8.093598901</v>
      </c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</row>
    <row r="67">
      <c r="A67" s="50"/>
      <c r="B67" s="64">
        <f>'Vstup Měsíční teploty ČR'!A42</f>
        <v>1999</v>
      </c>
      <c r="C67" s="65">
        <f>'Vstup Měsíční teploty ČR'!$N42</f>
        <v>8.4</v>
      </c>
      <c r="D67" s="69">
        <f t="shared" si="2"/>
        <v>8.22</v>
      </c>
      <c r="E67" s="67">
        <f t="shared" si="1"/>
        <v>8.130370879</v>
      </c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</row>
    <row r="68">
      <c r="A68" s="50"/>
      <c r="B68" s="64">
        <f>'Vstup Měsíční teploty ČR'!A43</f>
        <v>2000</v>
      </c>
      <c r="C68" s="65">
        <f>'Vstup Měsíční teploty ČR'!$N43</f>
        <v>9.1</v>
      </c>
      <c r="D68" s="69">
        <f t="shared" si="2"/>
        <v>8.44</v>
      </c>
      <c r="E68" s="67">
        <f t="shared" si="1"/>
        <v>8.167142857</v>
      </c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</row>
    <row r="69">
      <c r="A69" s="50"/>
      <c r="B69" s="64">
        <f>'Vstup Měsíční teploty ČR'!A44</f>
        <v>2001</v>
      </c>
      <c r="C69" s="65">
        <f>'Vstup Měsíční teploty ČR'!$N44</f>
        <v>7.8</v>
      </c>
      <c r="D69" s="69">
        <f t="shared" si="2"/>
        <v>8.44</v>
      </c>
      <c r="E69" s="67">
        <f t="shared" si="1"/>
        <v>8.203914835</v>
      </c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</row>
    <row r="70">
      <c r="A70" s="50"/>
      <c r="B70" s="64">
        <f>'Vstup Měsíční teploty ČR'!A45</f>
        <v>2002</v>
      </c>
      <c r="C70" s="65">
        <f>'Vstup Měsíční teploty ČR'!$N45</f>
        <v>8.7</v>
      </c>
      <c r="D70" s="69">
        <f t="shared" si="2"/>
        <v>8.32</v>
      </c>
      <c r="E70" s="67">
        <f t="shared" si="1"/>
        <v>8.240686813</v>
      </c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</row>
    <row r="71">
      <c r="A71" s="50"/>
      <c r="B71" s="64">
        <f>'Vstup Měsíční teploty ČR'!A46</f>
        <v>2003</v>
      </c>
      <c r="C71" s="65">
        <f>'Vstup Měsíční teploty ČR'!$N46</f>
        <v>8.2</v>
      </c>
      <c r="D71" s="69">
        <f t="shared" si="2"/>
        <v>8.04</v>
      </c>
      <c r="E71" s="67">
        <f t="shared" si="1"/>
        <v>8.277458791</v>
      </c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</row>
    <row r="72">
      <c r="A72" s="50"/>
      <c r="B72" s="64">
        <f>'Vstup Měsíční teploty ČR'!A47</f>
        <v>2004</v>
      </c>
      <c r="C72" s="65">
        <f>'Vstup Měsíční teploty ČR'!$N47</f>
        <v>7.8</v>
      </c>
      <c r="D72" s="69">
        <f t="shared" si="2"/>
        <v>8.12</v>
      </c>
      <c r="E72" s="67">
        <f t="shared" si="1"/>
        <v>8.314230769</v>
      </c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</row>
    <row r="73">
      <c r="A73" s="50"/>
      <c r="B73" s="64">
        <f>'Vstup Měsíční teploty ČR'!A48</f>
        <v>2005</v>
      </c>
      <c r="C73" s="65">
        <f>'Vstup Měsíční teploty ČR'!$N48</f>
        <v>7.7</v>
      </c>
      <c r="D73" s="69">
        <f t="shared" si="2"/>
        <v>8.2</v>
      </c>
      <c r="E73" s="67">
        <f t="shared" si="1"/>
        <v>8.351002747</v>
      </c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</row>
    <row r="74">
      <c r="A74" s="50"/>
      <c r="B74" s="64">
        <f>'Vstup Měsíční teploty ČR'!A49</f>
        <v>2006</v>
      </c>
      <c r="C74" s="65">
        <f>'Vstup Měsíční teploty ČR'!$N49</f>
        <v>8.2</v>
      </c>
      <c r="D74" s="69">
        <f t="shared" si="2"/>
        <v>8.34</v>
      </c>
      <c r="E74" s="67">
        <f t="shared" si="1"/>
        <v>8.387774725</v>
      </c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</row>
    <row r="75">
      <c r="A75" s="50"/>
      <c r="B75" s="64">
        <f>'Vstup Měsíční teploty ČR'!A50</f>
        <v>2007</v>
      </c>
      <c r="C75" s="65">
        <f>'Vstup Měsíční teploty ČR'!$N50</f>
        <v>9.1</v>
      </c>
      <c r="D75" s="69">
        <f t="shared" si="2"/>
        <v>8.46</v>
      </c>
      <c r="E75" s="67">
        <f t="shared" si="1"/>
        <v>8.424546703</v>
      </c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</row>
    <row r="76">
      <c r="A76" s="50"/>
      <c r="B76" s="64">
        <f>'Vstup Měsíční teploty ČR'!A51</f>
        <v>2008</v>
      </c>
      <c r="C76" s="65">
        <f>'Vstup Měsíční teploty ČR'!$N51</f>
        <v>8.9</v>
      </c>
      <c r="D76" s="69">
        <f t="shared" si="2"/>
        <v>8.36</v>
      </c>
      <c r="E76" s="67">
        <f t="shared" si="1"/>
        <v>8.461318681</v>
      </c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</row>
    <row r="77">
      <c r="A77" s="50"/>
      <c r="B77" s="64">
        <f>'Vstup Měsíční teploty ČR'!A52</f>
        <v>2009</v>
      </c>
      <c r="C77" s="65">
        <f>'Vstup Měsíční teploty ČR'!$N52</f>
        <v>8.4</v>
      </c>
      <c r="D77" s="69">
        <f t="shared" si="2"/>
        <v>8.42</v>
      </c>
      <c r="E77" s="67">
        <f t="shared" si="1"/>
        <v>8.498090659</v>
      </c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</row>
    <row r="78">
      <c r="A78" s="50"/>
      <c r="B78" s="64">
        <f>'Vstup Měsíční teploty ČR'!A53</f>
        <v>2010</v>
      </c>
      <c r="C78" s="65">
        <f>'Vstup Měsíční teploty ČR'!$N53</f>
        <v>7.2</v>
      </c>
      <c r="D78" s="69">
        <f t="shared" si="2"/>
        <v>8.26</v>
      </c>
      <c r="E78" s="67">
        <f t="shared" si="1"/>
        <v>8.534862637</v>
      </c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</row>
    <row r="79">
      <c r="A79" s="50"/>
      <c r="B79" s="64">
        <f>'Vstup Měsíční teploty ČR'!A54</f>
        <v>2011</v>
      </c>
      <c r="C79" s="65">
        <f>'Vstup Měsíční teploty ČR'!$N54</f>
        <v>8.5</v>
      </c>
      <c r="D79" s="69">
        <f t="shared" si="2"/>
        <v>8.06</v>
      </c>
      <c r="E79" s="67">
        <f t="shared" si="1"/>
        <v>8.571634615</v>
      </c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</row>
    <row r="80">
      <c r="A80" s="50"/>
      <c r="B80" s="64">
        <f>'Vstup Měsíční teploty ČR'!A55</f>
        <v>2012</v>
      </c>
      <c r="C80" s="65">
        <f>'Vstup Měsíční teploty ČR'!$N55</f>
        <v>8.3</v>
      </c>
      <c r="D80" s="69">
        <f t="shared" si="2"/>
        <v>8.26</v>
      </c>
      <c r="E80" s="67">
        <f t="shared" si="1"/>
        <v>8.608406593</v>
      </c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</row>
    <row r="81">
      <c r="A81" s="50"/>
      <c r="B81" s="64">
        <f>'Vstup Měsíční teploty ČR'!A56</f>
        <v>2013</v>
      </c>
      <c r="C81" s="65">
        <f>'Vstup Měsíční teploty ČR'!$N56</f>
        <v>7.9</v>
      </c>
      <c r="D81" s="69">
        <f t="shared" si="2"/>
        <v>8.7</v>
      </c>
      <c r="E81" s="67">
        <f t="shared" si="1"/>
        <v>8.645178571</v>
      </c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</row>
    <row r="82">
      <c r="A82" s="50"/>
      <c r="B82" s="64">
        <f>'Vstup Měsíční teploty ČR'!A57</f>
        <v>2014</v>
      </c>
      <c r="C82" s="65">
        <f>'Vstup Měsíční teploty ČR'!$N57</f>
        <v>9.4</v>
      </c>
      <c r="D82" s="69">
        <f t="shared" si="2"/>
        <v>8.74</v>
      </c>
      <c r="E82" s="67">
        <f t="shared" si="1"/>
        <v>8.681950549</v>
      </c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</row>
    <row r="83">
      <c r="A83" s="50"/>
      <c r="B83" s="64">
        <f>'Vstup Měsíční teploty ČR'!A58</f>
        <v>2015</v>
      </c>
      <c r="C83" s="65">
        <f>'Vstup Měsíční teploty ČR'!$N58</f>
        <v>9.4</v>
      </c>
      <c r="D83" s="69">
        <f t="shared" si="2"/>
        <v>8.8</v>
      </c>
      <c r="E83" s="67">
        <f t="shared" si="1"/>
        <v>8.718722527</v>
      </c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</row>
    <row r="84">
      <c r="A84" s="50"/>
      <c r="B84" s="64">
        <f>'Vstup Měsíční teploty ČR'!A59</f>
        <v>2016</v>
      </c>
      <c r="C84" s="65">
        <f>'Vstup Měsíční teploty ČR'!$N59</f>
        <v>8.7</v>
      </c>
      <c r="D84" s="69">
        <f t="shared" si="2"/>
        <v>9.14</v>
      </c>
      <c r="E84" s="67">
        <f t="shared" si="1"/>
        <v>8.755494505</v>
      </c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</row>
    <row r="85">
      <c r="A85" s="50"/>
      <c r="B85" s="64">
        <f>'Vstup Měsíční teploty ČR'!A60</f>
        <v>2017</v>
      </c>
      <c r="C85" s="65">
        <f>'Vstup Měsíční teploty ČR'!$N60</f>
        <v>8.6</v>
      </c>
      <c r="D85" s="69">
        <f t="shared" si="2"/>
        <v>9.16</v>
      </c>
      <c r="E85" s="67">
        <f t="shared" si="1"/>
        <v>8.792266484</v>
      </c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</row>
    <row r="86">
      <c r="A86" s="50"/>
      <c r="B86" s="64">
        <f>'Vstup Měsíční teploty ČR'!A61</f>
        <v>2018</v>
      </c>
      <c r="C86" s="65">
        <f>'Vstup Měsíční teploty ČR'!$N61</f>
        <v>9.6</v>
      </c>
      <c r="D86" s="69">
        <f t="shared" si="2"/>
        <v>9.1</v>
      </c>
      <c r="E86" s="67">
        <f t="shared" si="1"/>
        <v>8.829038462</v>
      </c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</row>
    <row r="87">
      <c r="A87" s="50"/>
      <c r="B87" s="64">
        <f>'Vstup Měsíční teploty ČR'!A62</f>
        <v>2019</v>
      </c>
      <c r="C87" s="70">
        <f>'Vstup Měsíční teploty ČR'!$N62</f>
        <v>9.5</v>
      </c>
      <c r="D87" s="69">
        <f t="shared" si="2"/>
        <v>8.96</v>
      </c>
      <c r="E87" s="67">
        <f t="shared" si="1"/>
        <v>8.86581044</v>
      </c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</row>
    <row r="88">
      <c r="A88" s="50"/>
      <c r="B88" s="71">
        <v>2020.0</v>
      </c>
      <c r="C88" s="70">
        <f>'Vstup Měsíční teploty ČR'!$N63</f>
        <v>9.1</v>
      </c>
      <c r="D88" s="69">
        <f t="shared" si="2"/>
        <v>9.08</v>
      </c>
      <c r="E88" s="67">
        <f t="shared" si="1"/>
        <v>8.902582418</v>
      </c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</row>
    <row r="89">
      <c r="A89" s="50"/>
      <c r="B89" s="72">
        <v>2021.0</v>
      </c>
      <c r="C89" s="73">
        <f>'Vstup Měsíční teploty ČR'!$N64</f>
        <v>8</v>
      </c>
      <c r="D89" s="69">
        <f t="shared" si="2"/>
        <v>9.1</v>
      </c>
      <c r="E89" s="74">
        <f t="shared" si="1"/>
        <v>8.939354396</v>
      </c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</row>
    <row r="90">
      <c r="A90" s="50"/>
      <c r="B90" s="75">
        <v>2022.0</v>
      </c>
      <c r="C90" s="76">
        <f>'Vstup Měsíční teploty ČR'!$N65</f>
        <v>9.2</v>
      </c>
      <c r="D90" s="69">
        <f t="shared" si="2"/>
        <v>9.26</v>
      </c>
      <c r="E90" s="77">
        <f t="shared" si="1"/>
        <v>8.976126374</v>
      </c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</row>
    <row r="91">
      <c r="A91" s="50"/>
      <c r="B91" s="75">
        <v>2023.0</v>
      </c>
      <c r="C91" s="70">
        <f>'Vstup Měsíční teploty ČR'!$N66</f>
        <v>9.7</v>
      </c>
      <c r="D91" s="66" t="s">
        <v>39</v>
      </c>
      <c r="E91" s="67">
        <f t="shared" si="1"/>
        <v>9.012898352</v>
      </c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</row>
    <row r="92">
      <c r="A92" s="50"/>
      <c r="B92" s="78">
        <v>2024.0</v>
      </c>
      <c r="C92" s="79">
        <f>'Vstup Měsíční teploty ČR'!$N67</f>
        <v>10.3</v>
      </c>
      <c r="D92" s="80" t="s">
        <v>39</v>
      </c>
      <c r="E92" s="81">
        <f t="shared" si="1"/>
        <v>9.04967033</v>
      </c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</row>
    <row r="94">
      <c r="A94" s="46">
        <v>4.0</v>
      </c>
      <c r="B94" s="29" t="s">
        <v>40</v>
      </c>
      <c r="C94" s="47"/>
      <c r="D94" s="48"/>
      <c r="E94" s="49"/>
      <c r="F94" s="49"/>
      <c r="G94" s="48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</row>
    <row r="95">
      <c r="A95" s="50"/>
      <c r="B95" s="68" t="s">
        <v>41</v>
      </c>
      <c r="C95" s="50"/>
      <c r="D95" s="82" t="s">
        <v>26</v>
      </c>
      <c r="E95" s="50"/>
      <c r="F95" s="52" t="s">
        <v>42</v>
      </c>
      <c r="G95" s="50"/>
      <c r="H95" s="50"/>
    </row>
    <row r="96">
      <c r="A96" s="50"/>
      <c r="B96" s="50"/>
      <c r="C96" s="50"/>
      <c r="D96" s="50"/>
      <c r="E96" s="50"/>
      <c r="F96" s="50"/>
      <c r="G96" s="50"/>
      <c r="H96" s="50"/>
    </row>
    <row r="97">
      <c r="A97" s="50"/>
      <c r="B97" s="83" t="s">
        <v>43</v>
      </c>
      <c r="C97" s="84" t="s">
        <v>44</v>
      </c>
      <c r="D97" s="84" t="s">
        <v>45</v>
      </c>
      <c r="E97" s="85" t="s">
        <v>46</v>
      </c>
      <c r="F97" s="85" t="s">
        <v>47</v>
      </c>
      <c r="G97" s="86" t="s">
        <v>48</v>
      </c>
      <c r="H97" s="87" t="s">
        <v>49</v>
      </c>
      <c r="I97" s="88"/>
      <c r="J97" s="88"/>
    </row>
    <row r="98">
      <c r="A98" s="50"/>
      <c r="B98" s="89" t="s">
        <v>50</v>
      </c>
      <c r="C98" s="90">
        <f t="array" ref="C98:D98">LINEST('Výstup Teploty ČR podle měsíců'!B2:BM2)</f>
        <v>0.05069368132</v>
      </c>
      <c r="D98" s="91">
        <v>-3.6241071428571416</v>
      </c>
      <c r="E98" s="92">
        <f t="shared" ref="E98:E110" si="3">C98*10</f>
        <v>0.5069368132</v>
      </c>
      <c r="F98" s="92">
        <f t="shared" ref="F98:F110" si="4">C98*(2023-1961)</f>
        <v>3.143008242</v>
      </c>
      <c r="G98" s="93">
        <f>AVERAGE('Výstup Teploty ČR podle měsíců'!B2:K2)</f>
        <v>-3.86</v>
      </c>
      <c r="H98" s="94">
        <f>AVERAGE('Výstup Teploty ČR podle měsíců'!BD2:BM2)</f>
        <v>-0.47</v>
      </c>
      <c r="I98" s="95"/>
      <c r="J98" s="96"/>
    </row>
    <row r="99">
      <c r="A99" s="50"/>
      <c r="B99" s="89" t="s">
        <v>51</v>
      </c>
      <c r="C99" s="90">
        <f t="array" ref="C99:D99">LINEST('Výstup Teploty ČR podle měsíců'!B3:BM3)</f>
        <v>0.04369505495</v>
      </c>
      <c r="D99" s="91">
        <v>-2.004464285714285</v>
      </c>
      <c r="E99" s="92">
        <f t="shared" si="3"/>
        <v>0.4369505495</v>
      </c>
      <c r="F99" s="92">
        <f t="shared" si="4"/>
        <v>2.709093407</v>
      </c>
      <c r="G99" s="93">
        <f>AVERAGE('Výstup Teploty ČR podle měsíců'!B3:K3)</f>
        <v>-1.6</v>
      </c>
      <c r="H99" s="94">
        <f>AVERAGE('Výstup Teploty ČR podle měsíců'!BD3:BM3)</f>
        <v>1.64</v>
      </c>
      <c r="I99" s="95"/>
      <c r="J99" s="96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</row>
    <row r="100">
      <c r="A100" s="50"/>
      <c r="B100" s="89" t="s">
        <v>52</v>
      </c>
      <c r="C100" s="90">
        <f t="array" ref="C100:D100">LINEST('Výstup Teploty ČR podle měsíců'!B4:BM4)</f>
        <v>0.0361996337</v>
      </c>
      <c r="D100" s="91">
        <v>1.723511904761905</v>
      </c>
      <c r="E100" s="92">
        <f t="shared" si="3"/>
        <v>0.361996337</v>
      </c>
      <c r="F100" s="92">
        <f t="shared" si="4"/>
        <v>2.244377289</v>
      </c>
      <c r="G100" s="93">
        <f>AVERAGE('Výstup Teploty ČR podle měsíců'!B4:K4)</f>
        <v>1.36</v>
      </c>
      <c r="H100" s="94">
        <f>AVERAGE('Výstup Teploty ČR podle měsíců'!BD4:BM4)</f>
        <v>4.09</v>
      </c>
      <c r="I100" s="95"/>
      <c r="J100" s="96"/>
    </row>
    <row r="101">
      <c r="A101" s="50"/>
      <c r="B101" s="89" t="s">
        <v>53</v>
      </c>
      <c r="C101" s="90">
        <f t="array" ref="C101:D101">LINEST('Výstup Teploty ČR podle měsíců'!B5:BM5)</f>
        <v>0.02834478022</v>
      </c>
      <c r="D101" s="91">
        <v>6.824107142857146</v>
      </c>
      <c r="E101" s="92">
        <f t="shared" si="3"/>
        <v>0.2834478022</v>
      </c>
      <c r="F101" s="92">
        <f t="shared" si="4"/>
        <v>1.757376374</v>
      </c>
      <c r="G101" s="93">
        <f>AVERAGE('Výstup Teploty ČR podle měsíců'!B5:K5)</f>
        <v>7.83</v>
      </c>
      <c r="H101" s="94">
        <f>AVERAGE('Výstup Teploty ČR podle měsíců'!BD5:BM5)</f>
        <v>8.19</v>
      </c>
      <c r="I101" s="95"/>
      <c r="J101" s="96"/>
    </row>
    <row r="102">
      <c r="A102" s="50"/>
      <c r="B102" s="89" t="s">
        <v>54</v>
      </c>
      <c r="C102" s="90">
        <f t="array" ref="C102:D102">LINEST('Výstup Teploty ČR podle měsíců'!B6:BM6)</f>
        <v>0.02842032967</v>
      </c>
      <c r="D102" s="91">
        <v>11.701339285714282</v>
      </c>
      <c r="E102" s="92">
        <f t="shared" si="3"/>
        <v>0.2842032967</v>
      </c>
      <c r="F102" s="92">
        <f t="shared" si="4"/>
        <v>1.76206044</v>
      </c>
      <c r="G102" s="93">
        <f>AVERAGE('Výstup Teploty ČR podle měsíců'!B6:K6)</f>
        <v>11.59</v>
      </c>
      <c r="H102" s="94">
        <f>AVERAGE('Výstup Teploty ČR podle měsíců'!BD6:BM6)</f>
        <v>12.94</v>
      </c>
      <c r="I102" s="95"/>
      <c r="J102" s="96"/>
    </row>
    <row r="103">
      <c r="A103" s="50"/>
      <c r="B103" s="89" t="s">
        <v>55</v>
      </c>
      <c r="C103" s="90">
        <f t="array" ref="C103:D103">LINEST('Výstup Teploty ČR podle měsíců'!B7:BM7)</f>
        <v>0.04302884615</v>
      </c>
      <c r="D103" s="91">
        <v>14.659375</v>
      </c>
      <c r="E103" s="92">
        <f t="shared" si="3"/>
        <v>0.4302884615</v>
      </c>
      <c r="F103" s="92">
        <f t="shared" si="4"/>
        <v>2.667788462</v>
      </c>
      <c r="G103" s="93">
        <f>AVERAGE('Výstup Teploty ČR podle měsíců'!B7:K7)</f>
        <v>15.72</v>
      </c>
      <c r="H103" s="94">
        <f>AVERAGE('Výstup Teploty ČR podle měsíců'!BD7:BM7)</f>
        <v>17.87</v>
      </c>
      <c r="I103" s="95"/>
      <c r="J103" s="96"/>
    </row>
    <row r="104">
      <c r="A104" s="50"/>
      <c r="B104" s="89" t="s">
        <v>56</v>
      </c>
      <c r="C104" s="90">
        <f t="array" ref="C104:D104">LINEST('Výstup Teploty ČR podle měsíců'!B8:BM8)</f>
        <v>0.04740613553</v>
      </c>
      <c r="D104" s="91">
        <v>16.098363095238092</v>
      </c>
      <c r="E104" s="92">
        <f t="shared" si="3"/>
        <v>0.4740613553</v>
      </c>
      <c r="F104" s="92">
        <f t="shared" si="4"/>
        <v>2.939180403</v>
      </c>
      <c r="G104" s="93">
        <f>AVERAGE('Výstup Teploty ČR podle měsíců'!B8:K8)</f>
        <v>16.67</v>
      </c>
      <c r="H104" s="94">
        <f>AVERAGE('Výstup Teploty ČR podle měsíců'!BD8:BM8)</f>
        <v>19.03</v>
      </c>
      <c r="I104" s="95"/>
      <c r="J104" s="96"/>
    </row>
    <row r="105">
      <c r="A105" s="50"/>
      <c r="B105" s="89" t="s">
        <v>57</v>
      </c>
      <c r="C105" s="90">
        <f t="array" ref="C105:D105">LINEST('Výstup Teploty ČR podle měsíců'!B9:BM9)</f>
        <v>0.04980082418</v>
      </c>
      <c r="D105" s="91">
        <v>15.542410714285714</v>
      </c>
      <c r="E105" s="92">
        <f t="shared" si="3"/>
        <v>0.4980082418</v>
      </c>
      <c r="F105" s="92">
        <f t="shared" si="4"/>
        <v>3.087651099</v>
      </c>
      <c r="G105" s="93">
        <f>AVERAGE('Výstup Teploty ČR podle měsíců'!B9:K9)</f>
        <v>15.77</v>
      </c>
      <c r="H105" s="94">
        <f>AVERAGE('Výstup Teploty ČR podle měsíců'!BD9:BM9)</f>
        <v>18.93</v>
      </c>
      <c r="I105" s="95"/>
      <c r="J105" s="96"/>
    </row>
    <row r="106">
      <c r="A106" s="50"/>
      <c r="B106" s="89" t="s">
        <v>58</v>
      </c>
      <c r="C106" s="90">
        <f t="array" ref="C106:D106">LINEST('Výstup Teploty ČR podle měsíců'!B10:BM10)</f>
        <v>0.01974130037</v>
      </c>
      <c r="D106" s="91">
        <v>12.32559523809524</v>
      </c>
      <c r="E106" s="92">
        <f t="shared" si="3"/>
        <v>0.1974130037</v>
      </c>
      <c r="F106" s="92">
        <f t="shared" si="4"/>
        <v>1.223960623</v>
      </c>
      <c r="G106" s="93">
        <f>AVERAGE('Výstup Teploty ČR podle měsíců'!B10:K10)</f>
        <v>12.97</v>
      </c>
      <c r="H106" s="94">
        <f>AVERAGE('Výstup Teploty ČR podle měsíců'!BD10:BM10)</f>
        <v>14.02</v>
      </c>
      <c r="I106" s="95"/>
      <c r="J106" s="96"/>
    </row>
    <row r="107">
      <c r="A107" s="50"/>
      <c r="B107" s="89" t="s">
        <v>59</v>
      </c>
      <c r="C107" s="90">
        <f t="array" ref="C107:D107">LINEST('Výstup Teploty ČR podle měsíců'!B11:BM11)</f>
        <v>0.02288690476</v>
      </c>
      <c r="D107" s="91">
        <v>7.417113095238097</v>
      </c>
      <c r="E107" s="92">
        <f t="shared" si="3"/>
        <v>0.2288690476</v>
      </c>
      <c r="F107" s="92">
        <f t="shared" si="4"/>
        <v>1.418988095</v>
      </c>
      <c r="G107" s="93">
        <f>AVERAGE('Výstup Teploty ČR podle měsíců'!B11:K11)</f>
        <v>8.37</v>
      </c>
      <c r="H107" s="94">
        <f>AVERAGE('Výstup Teploty ČR podle měsíců'!BD11:BM11)</f>
        <v>9.28</v>
      </c>
      <c r="I107" s="95"/>
      <c r="J107" s="96"/>
    </row>
    <row r="108">
      <c r="A108" s="50"/>
      <c r="B108" s="89" t="s">
        <v>60</v>
      </c>
      <c r="C108" s="90">
        <f t="array" ref="C108:D108">LINEST('Výstup Teploty ČR podle měsíců'!B12:BM12)</f>
        <v>0.02780448718</v>
      </c>
      <c r="D108" s="91">
        <v>2.2072916666666655</v>
      </c>
      <c r="E108" s="92">
        <f t="shared" si="3"/>
        <v>0.2780448718</v>
      </c>
      <c r="F108" s="92">
        <f t="shared" si="4"/>
        <v>1.723878205</v>
      </c>
      <c r="G108" s="93">
        <f>AVERAGE('Výstup Teploty ČR podle měsíců'!B12:K12)</f>
        <v>3.16</v>
      </c>
      <c r="H108" s="94">
        <f>AVERAGE('Výstup Teploty ČR podle měsíců'!BD12:BM12)</f>
        <v>4.05</v>
      </c>
      <c r="I108" s="95"/>
      <c r="J108" s="96"/>
    </row>
    <row r="109">
      <c r="A109" s="50"/>
      <c r="B109" s="89" t="s">
        <v>61</v>
      </c>
      <c r="C109" s="90">
        <f t="array" ref="C109:D109">LINEST('Výstup Teploty ČR podle měsíců'!B13:BM13)</f>
        <v>0.04839056777</v>
      </c>
      <c r="D109" s="91">
        <v>-2.211755952380952</v>
      </c>
      <c r="E109" s="92">
        <f t="shared" si="3"/>
        <v>0.4839056777</v>
      </c>
      <c r="F109" s="92">
        <f t="shared" si="4"/>
        <v>3.000215201</v>
      </c>
      <c r="G109" s="93">
        <f>AVERAGE('Výstup Teploty ČR podle měsíců'!B13:K13)</f>
        <v>-2.8</v>
      </c>
      <c r="H109" s="94">
        <f>AVERAGE('Výstup Teploty ČR podle měsíců'!BD13:BM13)</f>
        <v>1.28</v>
      </c>
      <c r="I109" s="95"/>
      <c r="J109" s="96"/>
    </row>
    <row r="110">
      <c r="A110" s="50"/>
      <c r="B110" s="97" t="s">
        <v>62</v>
      </c>
      <c r="C110" s="98">
        <f t="array" ref="C110:D110">LINEST('Výstup Teploty ČR podle měsíců'!B14:BM14)</f>
        <v>0.03677197802</v>
      </c>
      <c r="D110" s="99">
        <v>6.733035714285713</v>
      </c>
      <c r="E110" s="100">
        <f t="shared" si="3"/>
        <v>0.3677197802</v>
      </c>
      <c r="F110" s="101">
        <f t="shared" si="4"/>
        <v>2.279862637</v>
      </c>
      <c r="G110" s="102">
        <f>AVERAGE('Výstup Teploty ČR podle měsíců'!B14:K14)</f>
        <v>7.1</v>
      </c>
      <c r="H110" s="103">
        <f>AVERAGE('Výstup Teploty ČR podle měsíců'!BD14:BM14)</f>
        <v>9.21</v>
      </c>
      <c r="I110" s="95"/>
      <c r="J110" s="96"/>
    </row>
    <row r="111">
      <c r="A111" s="50"/>
      <c r="B111" s="104"/>
      <c r="C111" s="105"/>
      <c r="D111" s="106"/>
      <c r="E111" s="107"/>
      <c r="F111" s="107"/>
      <c r="G111" s="108"/>
      <c r="H111" s="106"/>
    </row>
    <row r="112">
      <c r="A112" s="50"/>
      <c r="B112" s="109"/>
      <c r="C112" s="105"/>
      <c r="D112" s="106"/>
      <c r="E112" s="107"/>
      <c r="F112" s="107"/>
      <c r="G112" s="108"/>
      <c r="H112" s="106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</row>
    <row r="113">
      <c r="A113" s="50"/>
      <c r="B113" s="104"/>
      <c r="C113" s="105"/>
      <c r="D113" s="106"/>
      <c r="E113" s="107"/>
      <c r="F113" s="107"/>
      <c r="G113" s="108"/>
      <c r="H113" s="106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</row>
    <row r="114">
      <c r="A114" s="50"/>
      <c r="B114" s="110"/>
      <c r="C114" s="111"/>
      <c r="D114" s="112"/>
      <c r="E114" s="113"/>
      <c r="F114" s="113"/>
      <c r="G114" s="114"/>
      <c r="H114" s="114"/>
      <c r="I114" s="115"/>
      <c r="J114" s="111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</row>
    <row r="115">
      <c r="A115" s="50"/>
      <c r="B115" s="104"/>
      <c r="C115" s="105"/>
      <c r="D115" s="106"/>
      <c r="E115" s="107"/>
      <c r="F115" s="107"/>
      <c r="G115" s="108"/>
      <c r="H115" s="106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</row>
    <row r="116">
      <c r="A116" s="50"/>
      <c r="B116" s="104"/>
      <c r="C116" s="105"/>
      <c r="D116" s="106"/>
      <c r="E116" s="107"/>
      <c r="F116" s="107"/>
      <c r="G116" s="108"/>
      <c r="H116" s="106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</row>
    <row r="117">
      <c r="A117" s="50"/>
      <c r="B117" s="104"/>
      <c r="C117" s="105"/>
      <c r="D117" s="106"/>
      <c r="E117" s="107"/>
      <c r="F117" s="107"/>
      <c r="G117" s="108"/>
      <c r="H117" s="106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</row>
    <row r="118">
      <c r="A118" s="50"/>
      <c r="B118" s="104"/>
      <c r="C118" s="105"/>
      <c r="D118" s="106"/>
      <c r="E118" s="107"/>
      <c r="F118" s="107"/>
      <c r="G118" s="108"/>
      <c r="H118" s="106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</row>
    <row r="119">
      <c r="A119" s="50"/>
      <c r="B119" s="104"/>
      <c r="C119" s="105"/>
      <c r="D119" s="106"/>
      <c r="E119" s="107"/>
      <c r="F119" s="107"/>
      <c r="G119" s="108"/>
      <c r="H119" s="106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</row>
    <row r="120">
      <c r="A120" s="50"/>
      <c r="B120" s="104"/>
      <c r="C120" s="105"/>
      <c r="D120" s="106"/>
      <c r="E120" s="107"/>
      <c r="F120" s="107"/>
      <c r="G120" s="108"/>
      <c r="H120" s="106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</row>
    <row r="121">
      <c r="A121" s="50"/>
      <c r="B121" s="104"/>
      <c r="C121" s="105"/>
      <c r="D121" s="106"/>
      <c r="E121" s="107"/>
      <c r="F121" s="107"/>
      <c r="G121" s="108"/>
      <c r="H121" s="106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</row>
    <row r="122">
      <c r="A122" s="50"/>
      <c r="B122" s="104"/>
      <c r="C122" s="105"/>
      <c r="D122" s="106"/>
      <c r="E122" s="107"/>
      <c r="F122" s="107"/>
      <c r="G122" s="108"/>
      <c r="H122" s="106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</row>
    <row r="123">
      <c r="A123" s="50"/>
      <c r="B123" s="104"/>
      <c r="C123" s="105"/>
      <c r="D123" s="106"/>
      <c r="E123" s="107"/>
      <c r="F123" s="107"/>
      <c r="G123" s="108"/>
      <c r="H123" s="106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</row>
    <row r="124">
      <c r="A124" s="50"/>
      <c r="B124" s="104"/>
      <c r="C124" s="105"/>
      <c r="D124" s="106"/>
      <c r="E124" s="107"/>
      <c r="F124" s="107"/>
      <c r="G124" s="108"/>
      <c r="H124" s="106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</row>
    <row r="125">
      <c r="A125" s="50"/>
      <c r="B125" s="104"/>
      <c r="C125" s="105"/>
      <c r="D125" s="106"/>
      <c r="E125" s="107"/>
      <c r="F125" s="107"/>
      <c r="G125" s="108"/>
      <c r="H125" s="106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</row>
    <row r="126">
      <c r="A126" s="50"/>
      <c r="B126" s="104"/>
      <c r="C126" s="105"/>
      <c r="D126" s="106"/>
      <c r="E126" s="107"/>
      <c r="F126" s="107"/>
      <c r="G126" s="108"/>
      <c r="H126" s="106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</row>
    <row r="127">
      <c r="A127" s="50"/>
      <c r="B127" s="104"/>
      <c r="C127" s="105"/>
      <c r="D127" s="106"/>
      <c r="E127" s="107"/>
      <c r="F127" s="107"/>
      <c r="G127" s="108"/>
      <c r="H127" s="106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</row>
    <row r="128">
      <c r="A128" s="50"/>
      <c r="B128" s="104"/>
      <c r="C128" s="105"/>
      <c r="D128" s="106"/>
      <c r="E128" s="107"/>
      <c r="F128" s="107"/>
      <c r="G128" s="108"/>
      <c r="H128" s="106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</row>
    <row r="129">
      <c r="A129" s="50"/>
      <c r="B129" s="104"/>
      <c r="C129" s="105"/>
      <c r="D129" s="106"/>
      <c r="E129" s="107"/>
      <c r="F129" s="107"/>
      <c r="G129" s="108"/>
      <c r="H129" s="106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</row>
    <row r="130">
      <c r="A130" s="50"/>
      <c r="B130" s="104"/>
      <c r="C130" s="105"/>
      <c r="D130" s="106"/>
      <c r="E130" s="107"/>
      <c r="F130" s="107"/>
      <c r="G130" s="108"/>
      <c r="H130" s="106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</row>
    <row r="131">
      <c r="A131" s="50"/>
      <c r="B131" s="104"/>
      <c r="C131" s="105"/>
      <c r="D131" s="106"/>
      <c r="E131" s="107"/>
      <c r="F131" s="107"/>
      <c r="G131" s="108"/>
      <c r="H131" s="106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</row>
  </sheetData>
  <mergeCells count="2">
    <mergeCell ref="F15:H15"/>
    <mergeCell ref="F18:H18"/>
  </mergeCells>
  <hyperlinks>
    <hyperlink r:id="rId1" ref="B3"/>
    <hyperlink r:id="rId2" ref="E3"/>
    <hyperlink display="Tabulka v příloze" location="'Vstup Měsíční teploty ČR'!A1" ref="D18"/>
    <hyperlink r:id="rId3" ref="I18"/>
    <hyperlink display="Tabulka v příloze" location="'Výstup Teploty ČR podle měsíců'!A1" ref="D95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4.38"/>
    <col customWidth="1" min="2" max="7" width="9.5"/>
    <col customWidth="1" min="8" max="8" width="10.25"/>
    <col customWidth="1" min="9" max="14" width="9.5"/>
  </cols>
  <sheetData>
    <row r="1">
      <c r="A1" s="117" t="s">
        <v>19</v>
      </c>
      <c r="B1" s="118" t="s">
        <v>22</v>
      </c>
    </row>
    <row r="2">
      <c r="A2" s="119" t="str">
        <f>'Shrnutí'!I18</f>
        <v>http://portal.chmi.cz/historicka-data/pocasi/uzemni-teploty</v>
      </c>
      <c r="B2" s="120" t="str">
        <f>'Shrnutí'!F18</f>
        <v>Data ručně vykopírována z jednotlivých let. Na zdrojových stránkách jsou v odkazech pro jednotlivé roky uvedené průměrné teploty vzduchu [°C] v daném měsíci, uspořádané podle měsíců (v daném roce) a podle krajů. Vzhledem k velikosti ČR nebudou v trendech pro jednotlivé kraje podstatné rozdíly, proto dále pracujeme pouze s průměrnými teplotami pro daný rok a měsíc v rámci celé ČR.                                                                                                         </v>
      </c>
    </row>
    <row r="3">
      <c r="A3" s="121" t="s">
        <v>36</v>
      </c>
      <c r="B3" s="122" t="s">
        <v>50</v>
      </c>
      <c r="C3" s="122" t="s">
        <v>51</v>
      </c>
      <c r="D3" s="122" t="s">
        <v>52</v>
      </c>
      <c r="E3" s="122" t="s">
        <v>53</v>
      </c>
      <c r="F3" s="122" t="s">
        <v>54</v>
      </c>
      <c r="G3" s="122" t="s">
        <v>55</v>
      </c>
      <c r="H3" s="122" t="s">
        <v>56</v>
      </c>
      <c r="I3" s="122" t="s">
        <v>57</v>
      </c>
      <c r="J3" s="122" t="s">
        <v>58</v>
      </c>
      <c r="K3" s="122" t="s">
        <v>59</v>
      </c>
      <c r="L3" s="122" t="s">
        <v>60</v>
      </c>
      <c r="M3" s="123" t="s">
        <v>61</v>
      </c>
      <c r="N3" s="124" t="s">
        <v>62</v>
      </c>
    </row>
    <row r="4" ht="15.0" customHeight="1">
      <c r="A4" s="125">
        <v>1961.0</v>
      </c>
      <c r="B4" s="126">
        <v>-3.4</v>
      </c>
      <c r="C4" s="126">
        <v>1.7</v>
      </c>
      <c r="D4" s="126">
        <v>5.1</v>
      </c>
      <c r="E4" s="126">
        <v>10.7</v>
      </c>
      <c r="F4" s="126">
        <v>10.2</v>
      </c>
      <c r="G4" s="126">
        <v>16.2</v>
      </c>
      <c r="H4" s="126">
        <v>15.2</v>
      </c>
      <c r="I4" s="126">
        <v>15.7</v>
      </c>
      <c r="J4" s="126">
        <v>15.0</v>
      </c>
      <c r="K4" s="126">
        <v>9.4</v>
      </c>
      <c r="L4" s="126">
        <v>2.7</v>
      </c>
      <c r="M4" s="126">
        <v>-3.2</v>
      </c>
      <c r="N4" s="127">
        <v>7.9</v>
      </c>
    </row>
    <row r="5" ht="15.0" customHeight="1">
      <c r="A5" s="125">
        <f t="shared" ref="A5:A62" si="1">A4+1</f>
        <v>1962</v>
      </c>
      <c r="B5" s="108">
        <v>-1.2</v>
      </c>
      <c r="C5" s="108">
        <v>-2.1</v>
      </c>
      <c r="D5" s="108">
        <v>-1.1</v>
      </c>
      <c r="E5" s="108">
        <v>8.6</v>
      </c>
      <c r="F5" s="108">
        <v>9.7</v>
      </c>
      <c r="G5" s="108">
        <v>13.8</v>
      </c>
      <c r="H5" s="108">
        <v>15.1</v>
      </c>
      <c r="I5" s="108">
        <v>16.7</v>
      </c>
      <c r="J5" s="108">
        <v>11.8</v>
      </c>
      <c r="K5" s="108">
        <v>7.5</v>
      </c>
      <c r="L5" s="108">
        <v>2.4</v>
      </c>
      <c r="M5" s="108">
        <v>-5.5</v>
      </c>
      <c r="N5" s="128">
        <v>6.3</v>
      </c>
    </row>
    <row r="6" ht="15.0" customHeight="1">
      <c r="A6" s="125">
        <f t="shared" si="1"/>
        <v>1963</v>
      </c>
      <c r="B6" s="108">
        <v>-8.9</v>
      </c>
      <c r="C6" s="108">
        <v>-6.9</v>
      </c>
      <c r="D6" s="108">
        <v>0.6</v>
      </c>
      <c r="E6" s="108">
        <v>8.1</v>
      </c>
      <c r="F6" s="108">
        <v>12.0</v>
      </c>
      <c r="G6" s="108">
        <v>16.0</v>
      </c>
      <c r="H6" s="108">
        <v>18.0</v>
      </c>
      <c r="I6" s="108">
        <v>16.5</v>
      </c>
      <c r="J6" s="108">
        <v>13.8</v>
      </c>
      <c r="K6" s="108">
        <v>7.4</v>
      </c>
      <c r="L6" s="108">
        <v>6.4</v>
      </c>
      <c r="M6" s="108">
        <v>-5.6</v>
      </c>
      <c r="N6" s="128">
        <v>6.5</v>
      </c>
    </row>
    <row r="7" ht="15.0" customHeight="1">
      <c r="A7" s="129">
        <f t="shared" si="1"/>
        <v>1964</v>
      </c>
      <c r="B7" s="108">
        <v>-5.9</v>
      </c>
      <c r="C7" s="108">
        <v>-2.3</v>
      </c>
      <c r="D7" s="108">
        <v>-1.2</v>
      </c>
      <c r="E7" s="108">
        <v>8.3</v>
      </c>
      <c r="F7" s="108">
        <v>12.8</v>
      </c>
      <c r="G7" s="108">
        <v>17.5</v>
      </c>
      <c r="H7" s="108">
        <v>17.8</v>
      </c>
      <c r="I7" s="108">
        <v>15.1</v>
      </c>
      <c r="J7" s="108">
        <v>12.6</v>
      </c>
      <c r="K7" s="108">
        <v>6.7</v>
      </c>
      <c r="L7" s="108">
        <v>3.7</v>
      </c>
      <c r="M7" s="108">
        <v>-1.7</v>
      </c>
      <c r="N7" s="128">
        <v>6.9</v>
      </c>
    </row>
    <row r="8" ht="15.0" customHeight="1">
      <c r="A8" s="129">
        <f t="shared" si="1"/>
        <v>1965</v>
      </c>
      <c r="B8" s="108">
        <v>-0.8</v>
      </c>
      <c r="C8" s="108">
        <v>-4.7</v>
      </c>
      <c r="D8" s="108">
        <v>0.7</v>
      </c>
      <c r="E8" s="108">
        <v>6.1</v>
      </c>
      <c r="F8" s="108">
        <v>10.2</v>
      </c>
      <c r="G8" s="108">
        <v>15.2</v>
      </c>
      <c r="H8" s="108">
        <v>15.5</v>
      </c>
      <c r="I8" s="108">
        <v>14.7</v>
      </c>
      <c r="J8" s="108">
        <v>12.7</v>
      </c>
      <c r="K8" s="108">
        <v>6.5</v>
      </c>
      <c r="L8" s="108">
        <v>-0.3</v>
      </c>
      <c r="M8" s="108">
        <v>0.7</v>
      </c>
      <c r="N8" s="128">
        <v>6.4</v>
      </c>
    </row>
    <row r="9" ht="15.0" customHeight="1">
      <c r="A9" s="129">
        <f t="shared" si="1"/>
        <v>1966</v>
      </c>
      <c r="B9" s="108">
        <v>-5.4</v>
      </c>
      <c r="C9" s="108">
        <v>3.7</v>
      </c>
      <c r="D9" s="108">
        <v>2.2</v>
      </c>
      <c r="E9" s="108">
        <v>9.1</v>
      </c>
      <c r="F9" s="108">
        <v>12.4</v>
      </c>
      <c r="G9" s="108">
        <v>16.2</v>
      </c>
      <c r="H9" s="108">
        <v>15.9</v>
      </c>
      <c r="I9" s="108">
        <v>15.3</v>
      </c>
      <c r="J9" s="108">
        <v>12.4</v>
      </c>
      <c r="K9" s="108">
        <v>11.3</v>
      </c>
      <c r="L9" s="108">
        <v>1.8</v>
      </c>
      <c r="M9" s="108">
        <v>-0.1</v>
      </c>
      <c r="N9" s="128">
        <v>7.9</v>
      </c>
    </row>
    <row r="10" ht="15.0" customHeight="1">
      <c r="A10" s="129">
        <f t="shared" si="1"/>
        <v>1967</v>
      </c>
      <c r="B10" s="108">
        <v>-2.5</v>
      </c>
      <c r="C10" s="108">
        <v>0.4</v>
      </c>
      <c r="D10" s="108">
        <v>4.1</v>
      </c>
      <c r="E10" s="108">
        <v>6.5</v>
      </c>
      <c r="F10" s="108">
        <v>12.6</v>
      </c>
      <c r="G10" s="108">
        <v>15.0</v>
      </c>
      <c r="H10" s="108">
        <v>18.5</v>
      </c>
      <c r="I10" s="108">
        <v>16.2</v>
      </c>
      <c r="J10" s="108">
        <v>13.8</v>
      </c>
      <c r="K10" s="108">
        <v>10.3</v>
      </c>
      <c r="L10" s="108">
        <v>2.6</v>
      </c>
      <c r="M10" s="108">
        <v>-1.5</v>
      </c>
      <c r="N10" s="128">
        <v>8.0</v>
      </c>
    </row>
    <row r="11" ht="15.0" customHeight="1">
      <c r="A11" s="129">
        <f t="shared" si="1"/>
        <v>1968</v>
      </c>
      <c r="B11" s="108">
        <v>-3.7</v>
      </c>
      <c r="C11" s="108">
        <v>-0.2</v>
      </c>
      <c r="D11" s="108">
        <v>3.3</v>
      </c>
      <c r="E11" s="108">
        <v>8.5</v>
      </c>
      <c r="F11" s="108">
        <v>11.2</v>
      </c>
      <c r="G11" s="108">
        <v>16.2</v>
      </c>
      <c r="H11" s="108">
        <v>16.1</v>
      </c>
      <c r="I11" s="108">
        <v>15.7</v>
      </c>
      <c r="J11" s="108">
        <v>12.6</v>
      </c>
      <c r="K11" s="108">
        <v>8.4</v>
      </c>
      <c r="L11" s="108">
        <v>3.4</v>
      </c>
      <c r="M11" s="108">
        <v>-3.7</v>
      </c>
      <c r="N11" s="128">
        <v>7.3</v>
      </c>
    </row>
    <row r="12" ht="15.0" customHeight="1">
      <c r="A12" s="129">
        <f t="shared" si="1"/>
        <v>1969</v>
      </c>
      <c r="B12" s="108">
        <v>-2.9</v>
      </c>
      <c r="C12" s="108">
        <v>-2.9</v>
      </c>
      <c r="D12" s="108">
        <v>-0.4</v>
      </c>
      <c r="E12" s="108">
        <v>6.7</v>
      </c>
      <c r="F12" s="108">
        <v>14.2</v>
      </c>
      <c r="G12" s="108">
        <v>14.8</v>
      </c>
      <c r="H12" s="108">
        <v>17.9</v>
      </c>
      <c r="I12" s="108">
        <v>15.5</v>
      </c>
      <c r="J12" s="108">
        <v>13.1</v>
      </c>
      <c r="K12" s="108">
        <v>8.8</v>
      </c>
      <c r="L12" s="108">
        <v>4.2</v>
      </c>
      <c r="M12" s="108">
        <v>-6.3</v>
      </c>
      <c r="N12" s="128">
        <v>6.9</v>
      </c>
    </row>
    <row r="13" ht="15.0" customHeight="1">
      <c r="A13" s="129">
        <f t="shared" si="1"/>
        <v>1970</v>
      </c>
      <c r="B13" s="108">
        <v>-3.9</v>
      </c>
      <c r="C13" s="108">
        <v>-2.7</v>
      </c>
      <c r="D13" s="108">
        <v>0.3</v>
      </c>
      <c r="E13" s="108">
        <v>5.7</v>
      </c>
      <c r="F13" s="108">
        <v>10.6</v>
      </c>
      <c r="G13" s="108">
        <v>16.3</v>
      </c>
      <c r="H13" s="108">
        <v>16.7</v>
      </c>
      <c r="I13" s="108">
        <v>16.3</v>
      </c>
      <c r="J13" s="108">
        <v>11.9</v>
      </c>
      <c r="K13" s="108">
        <v>7.4</v>
      </c>
      <c r="L13" s="108">
        <v>4.7</v>
      </c>
      <c r="M13" s="108">
        <v>-1.1</v>
      </c>
      <c r="N13" s="128">
        <v>6.9</v>
      </c>
    </row>
    <row r="14" ht="15.0" customHeight="1">
      <c r="A14" s="129">
        <f t="shared" si="1"/>
        <v>1971</v>
      </c>
      <c r="B14" s="108">
        <v>-3.6</v>
      </c>
      <c r="C14" s="108">
        <v>-0.2</v>
      </c>
      <c r="D14" s="108">
        <v>-0.3</v>
      </c>
      <c r="E14" s="108">
        <v>8.0</v>
      </c>
      <c r="F14" s="108">
        <v>13.7</v>
      </c>
      <c r="G14" s="108">
        <v>13.8</v>
      </c>
      <c r="H14" s="108">
        <v>17.7</v>
      </c>
      <c r="I14" s="108">
        <v>18.4</v>
      </c>
      <c r="J14" s="108">
        <v>10.7</v>
      </c>
      <c r="K14" s="108">
        <v>7.1</v>
      </c>
      <c r="L14" s="108">
        <v>2.1</v>
      </c>
      <c r="M14" s="108">
        <v>2.1</v>
      </c>
      <c r="N14" s="128">
        <v>7.5</v>
      </c>
    </row>
    <row r="15" ht="15.0" customHeight="1">
      <c r="A15" s="129">
        <f t="shared" si="1"/>
        <v>1972</v>
      </c>
      <c r="B15" s="108">
        <v>-3.9</v>
      </c>
      <c r="C15" s="108">
        <v>1.0</v>
      </c>
      <c r="D15" s="108">
        <v>4.6</v>
      </c>
      <c r="E15" s="108">
        <v>6.7</v>
      </c>
      <c r="F15" s="108">
        <v>11.7</v>
      </c>
      <c r="G15" s="108">
        <v>15.5</v>
      </c>
      <c r="H15" s="108">
        <v>17.8</v>
      </c>
      <c r="I15" s="108">
        <v>15.7</v>
      </c>
      <c r="J15" s="108">
        <v>10.2</v>
      </c>
      <c r="K15" s="108">
        <v>5.3</v>
      </c>
      <c r="L15" s="108">
        <v>3.2</v>
      </c>
      <c r="M15" s="108">
        <v>-1.3</v>
      </c>
      <c r="N15" s="128">
        <v>7.2</v>
      </c>
    </row>
    <row r="16" ht="15.0" customHeight="1">
      <c r="A16" s="129">
        <f t="shared" si="1"/>
        <v>1973</v>
      </c>
      <c r="B16" s="108">
        <v>-1.8</v>
      </c>
      <c r="C16" s="108">
        <v>-0.2</v>
      </c>
      <c r="D16" s="108">
        <v>3.1</v>
      </c>
      <c r="E16" s="108">
        <v>4.9</v>
      </c>
      <c r="F16" s="108">
        <v>12.3</v>
      </c>
      <c r="G16" s="108">
        <v>15.3</v>
      </c>
      <c r="H16" s="108">
        <v>16.6</v>
      </c>
      <c r="I16" s="108">
        <v>17.1</v>
      </c>
      <c r="J16" s="108">
        <v>13.7</v>
      </c>
      <c r="K16" s="108">
        <v>6.0</v>
      </c>
      <c r="L16" s="108">
        <v>1.1</v>
      </c>
      <c r="M16" s="108">
        <v>-1.5</v>
      </c>
      <c r="N16" s="128">
        <v>7.2</v>
      </c>
    </row>
    <row r="17" ht="15.0" customHeight="1">
      <c r="A17" s="129">
        <f t="shared" si="1"/>
        <v>1974</v>
      </c>
      <c r="B17" s="108">
        <v>0.8</v>
      </c>
      <c r="C17" s="108">
        <v>2.3</v>
      </c>
      <c r="D17" s="108">
        <v>5.6</v>
      </c>
      <c r="E17" s="108">
        <v>7.2</v>
      </c>
      <c r="F17" s="108">
        <v>10.9</v>
      </c>
      <c r="G17" s="108">
        <v>13.4</v>
      </c>
      <c r="H17" s="108">
        <v>15.2</v>
      </c>
      <c r="I17" s="108">
        <v>17.7</v>
      </c>
      <c r="J17" s="108">
        <v>12.6</v>
      </c>
      <c r="K17" s="108">
        <v>4.4</v>
      </c>
      <c r="L17" s="108">
        <v>2.8</v>
      </c>
      <c r="M17" s="108">
        <v>2.6</v>
      </c>
      <c r="N17" s="128">
        <v>7.9</v>
      </c>
    </row>
    <row r="18" ht="15.0" customHeight="1">
      <c r="A18" s="129">
        <f t="shared" si="1"/>
        <v>1975</v>
      </c>
      <c r="B18" s="108">
        <v>2.0</v>
      </c>
      <c r="C18" s="108">
        <v>-1.1</v>
      </c>
      <c r="D18" s="108">
        <v>3.2</v>
      </c>
      <c r="E18" s="108">
        <v>6.4</v>
      </c>
      <c r="F18" s="108">
        <v>12.6</v>
      </c>
      <c r="G18" s="108">
        <v>14.6</v>
      </c>
      <c r="H18" s="108">
        <v>17.6</v>
      </c>
      <c r="I18" s="108">
        <v>17.4</v>
      </c>
      <c r="J18" s="108">
        <v>15.5</v>
      </c>
      <c r="K18" s="108">
        <v>7.1</v>
      </c>
      <c r="L18" s="108">
        <v>1.3</v>
      </c>
      <c r="M18" s="108">
        <v>-0.6</v>
      </c>
      <c r="N18" s="128">
        <v>8.0</v>
      </c>
    </row>
    <row r="19" ht="15.0" customHeight="1">
      <c r="A19" s="129">
        <f t="shared" si="1"/>
        <v>1976</v>
      </c>
      <c r="B19" s="108">
        <v>-1.1</v>
      </c>
      <c r="C19" s="108">
        <v>-1.2</v>
      </c>
      <c r="D19" s="108">
        <v>-0.5</v>
      </c>
      <c r="E19" s="108">
        <v>6.8</v>
      </c>
      <c r="F19" s="108">
        <v>12.4</v>
      </c>
      <c r="G19" s="108">
        <v>16.2</v>
      </c>
      <c r="H19" s="108">
        <v>18.4</v>
      </c>
      <c r="I19" s="108">
        <v>14.6</v>
      </c>
      <c r="J19" s="108">
        <v>11.7</v>
      </c>
      <c r="K19" s="108">
        <v>9.0</v>
      </c>
      <c r="L19" s="108">
        <v>4.1</v>
      </c>
      <c r="M19" s="108">
        <v>-2.4</v>
      </c>
      <c r="N19" s="128">
        <v>7.3</v>
      </c>
    </row>
    <row r="20" ht="15.0" customHeight="1">
      <c r="A20" s="129">
        <f t="shared" si="1"/>
        <v>1977</v>
      </c>
      <c r="B20" s="108">
        <v>-1.8</v>
      </c>
      <c r="C20" s="108">
        <v>0.8</v>
      </c>
      <c r="D20" s="108">
        <v>5.4</v>
      </c>
      <c r="E20" s="108">
        <v>5.4</v>
      </c>
      <c r="F20" s="108">
        <v>11.9</v>
      </c>
      <c r="G20" s="108">
        <v>16.0</v>
      </c>
      <c r="H20" s="108">
        <v>16.1</v>
      </c>
      <c r="I20" s="108">
        <v>15.6</v>
      </c>
      <c r="J20" s="108">
        <v>10.7</v>
      </c>
      <c r="K20" s="108">
        <v>8.8</v>
      </c>
      <c r="L20" s="108">
        <v>3.8</v>
      </c>
      <c r="M20" s="108">
        <v>-1.2</v>
      </c>
      <c r="N20" s="128">
        <v>7.6</v>
      </c>
    </row>
    <row r="21" ht="15.0" customHeight="1">
      <c r="A21" s="129">
        <f t="shared" si="1"/>
        <v>1978</v>
      </c>
      <c r="B21" s="108">
        <v>-1.0</v>
      </c>
      <c r="C21" s="108">
        <v>-3.1</v>
      </c>
      <c r="D21" s="108">
        <v>3.7</v>
      </c>
      <c r="E21" s="108">
        <v>6.1</v>
      </c>
      <c r="F21" s="108">
        <v>10.8</v>
      </c>
      <c r="G21" s="108">
        <v>14.2</v>
      </c>
      <c r="H21" s="108">
        <v>15.0</v>
      </c>
      <c r="I21" s="108">
        <v>14.5</v>
      </c>
      <c r="J21" s="108">
        <v>11.5</v>
      </c>
      <c r="K21" s="108">
        <v>8.1</v>
      </c>
      <c r="L21" s="108">
        <v>1.9</v>
      </c>
      <c r="M21" s="108">
        <v>-0.8</v>
      </c>
      <c r="N21" s="128">
        <v>6.8</v>
      </c>
    </row>
    <row r="22" ht="15.0" customHeight="1">
      <c r="A22" s="129">
        <f t="shared" si="1"/>
        <v>1979</v>
      </c>
      <c r="B22" s="108">
        <v>-5.8</v>
      </c>
      <c r="C22" s="108">
        <v>-2.0</v>
      </c>
      <c r="D22" s="108">
        <v>3.3</v>
      </c>
      <c r="E22" s="108">
        <v>5.9</v>
      </c>
      <c r="F22" s="108">
        <v>13.0</v>
      </c>
      <c r="G22" s="108">
        <v>17.6</v>
      </c>
      <c r="H22" s="108">
        <v>14.6</v>
      </c>
      <c r="I22" s="108">
        <v>15.5</v>
      </c>
      <c r="J22" s="108">
        <v>12.6</v>
      </c>
      <c r="K22" s="108">
        <v>6.6</v>
      </c>
      <c r="L22" s="108">
        <v>2.5</v>
      </c>
      <c r="M22" s="108">
        <v>2.6</v>
      </c>
      <c r="N22" s="128">
        <v>7.2</v>
      </c>
    </row>
    <row r="23" ht="15.0" customHeight="1">
      <c r="A23" s="129">
        <f t="shared" si="1"/>
        <v>1980</v>
      </c>
      <c r="B23" s="108">
        <v>-5.1</v>
      </c>
      <c r="C23" s="108">
        <v>0.5</v>
      </c>
      <c r="D23" s="108">
        <v>1.7</v>
      </c>
      <c r="E23" s="108">
        <v>4.6</v>
      </c>
      <c r="F23" s="108">
        <v>9.7</v>
      </c>
      <c r="G23" s="108">
        <v>14.4</v>
      </c>
      <c r="H23" s="108">
        <v>14.7</v>
      </c>
      <c r="I23" s="108">
        <v>15.9</v>
      </c>
      <c r="J23" s="108">
        <v>12.2</v>
      </c>
      <c r="K23" s="108">
        <v>7.0</v>
      </c>
      <c r="L23" s="108">
        <v>1.3</v>
      </c>
      <c r="M23" s="108">
        <v>-1.3</v>
      </c>
      <c r="N23" s="128">
        <v>6.3</v>
      </c>
    </row>
    <row r="24" ht="15.0" customHeight="1">
      <c r="A24" s="129">
        <f t="shared" si="1"/>
        <v>1981</v>
      </c>
      <c r="B24" s="108">
        <v>-4.1</v>
      </c>
      <c r="C24" s="108">
        <v>-1.5</v>
      </c>
      <c r="D24" s="108">
        <v>5.8</v>
      </c>
      <c r="E24" s="108">
        <v>6.6</v>
      </c>
      <c r="F24" s="108">
        <v>12.9</v>
      </c>
      <c r="G24" s="108">
        <v>16.1</v>
      </c>
      <c r="H24" s="108">
        <v>16.1</v>
      </c>
      <c r="I24" s="108">
        <v>16.3</v>
      </c>
      <c r="J24" s="108">
        <v>13.3</v>
      </c>
      <c r="K24" s="108">
        <v>8.0</v>
      </c>
      <c r="L24" s="108">
        <v>3.0</v>
      </c>
      <c r="M24" s="108">
        <v>-3.3</v>
      </c>
      <c r="N24" s="128">
        <v>7.4</v>
      </c>
    </row>
    <row r="25" ht="15.0" customHeight="1">
      <c r="A25" s="129">
        <f t="shared" si="1"/>
        <v>1982</v>
      </c>
      <c r="B25" s="108">
        <v>-5.4</v>
      </c>
      <c r="C25" s="108">
        <v>-2.4</v>
      </c>
      <c r="D25" s="108">
        <v>3.4</v>
      </c>
      <c r="E25" s="108">
        <v>5.1</v>
      </c>
      <c r="F25" s="108">
        <v>12.8</v>
      </c>
      <c r="G25" s="108">
        <v>16.2</v>
      </c>
      <c r="H25" s="108">
        <v>18.2</v>
      </c>
      <c r="I25" s="108">
        <v>17.2</v>
      </c>
      <c r="J25" s="108">
        <v>15.4</v>
      </c>
      <c r="K25" s="108">
        <v>8.8</v>
      </c>
      <c r="L25" s="108">
        <v>3.8</v>
      </c>
      <c r="M25" s="108">
        <v>0.7</v>
      </c>
      <c r="N25" s="128">
        <v>7.8</v>
      </c>
    </row>
    <row r="26" ht="15.0" customHeight="1">
      <c r="A26" s="129">
        <f t="shared" si="1"/>
        <v>1983</v>
      </c>
      <c r="B26" s="108">
        <v>2.2</v>
      </c>
      <c r="C26" s="108">
        <v>-3.5</v>
      </c>
      <c r="D26" s="108">
        <v>3.5</v>
      </c>
      <c r="E26" s="108">
        <v>9.0</v>
      </c>
      <c r="F26" s="108">
        <v>12.9</v>
      </c>
      <c r="G26" s="108">
        <v>15.9</v>
      </c>
      <c r="H26" s="108">
        <v>20.0</v>
      </c>
      <c r="I26" s="108">
        <v>17.5</v>
      </c>
      <c r="J26" s="108">
        <v>13.1</v>
      </c>
      <c r="K26" s="108">
        <v>8.0</v>
      </c>
      <c r="L26" s="108">
        <v>1.1</v>
      </c>
      <c r="M26" s="108">
        <v>-1.5</v>
      </c>
      <c r="N26" s="128">
        <v>8.2</v>
      </c>
    </row>
    <row r="27" ht="15.0" customHeight="1">
      <c r="A27" s="129">
        <f t="shared" si="1"/>
        <v>1984</v>
      </c>
      <c r="B27" s="108">
        <v>-1.2</v>
      </c>
      <c r="C27" s="108">
        <v>-1.8</v>
      </c>
      <c r="D27" s="108">
        <v>1.1</v>
      </c>
      <c r="E27" s="108">
        <v>6.4</v>
      </c>
      <c r="F27" s="108">
        <v>11.3</v>
      </c>
      <c r="G27" s="108">
        <v>13.8</v>
      </c>
      <c r="H27" s="108">
        <v>15.2</v>
      </c>
      <c r="I27" s="108">
        <v>16.3</v>
      </c>
      <c r="J27" s="108">
        <v>11.8</v>
      </c>
      <c r="K27" s="108">
        <v>9.1</v>
      </c>
      <c r="L27" s="108">
        <v>3.6</v>
      </c>
      <c r="M27" s="108">
        <v>-1.2</v>
      </c>
      <c r="N27" s="128">
        <v>7.0</v>
      </c>
    </row>
    <row r="28" ht="15.0" customHeight="1">
      <c r="A28" s="129">
        <f t="shared" si="1"/>
        <v>1985</v>
      </c>
      <c r="B28" s="108">
        <v>-7.9</v>
      </c>
      <c r="C28" s="108">
        <v>-5.8</v>
      </c>
      <c r="D28" s="108">
        <v>2.1</v>
      </c>
      <c r="E28" s="108">
        <v>7.0</v>
      </c>
      <c r="F28" s="108">
        <v>13.5</v>
      </c>
      <c r="G28" s="108">
        <v>13.0</v>
      </c>
      <c r="H28" s="108">
        <v>17.2</v>
      </c>
      <c r="I28" s="108">
        <v>16.5</v>
      </c>
      <c r="J28" s="108">
        <v>12.6</v>
      </c>
      <c r="K28" s="108">
        <v>7.4</v>
      </c>
      <c r="L28" s="108">
        <v>-0.2</v>
      </c>
      <c r="M28" s="108">
        <v>2.0</v>
      </c>
      <c r="N28" s="128">
        <v>6.5</v>
      </c>
    </row>
    <row r="29" ht="15.0" customHeight="1">
      <c r="A29" s="129">
        <f t="shared" si="1"/>
        <v>1986</v>
      </c>
      <c r="B29" s="108">
        <v>-1.7</v>
      </c>
      <c r="C29" s="108">
        <v>-7.8</v>
      </c>
      <c r="D29" s="108">
        <v>2.1</v>
      </c>
      <c r="E29" s="108">
        <v>8.3</v>
      </c>
      <c r="F29" s="108">
        <v>14.5</v>
      </c>
      <c r="G29" s="108">
        <v>15.4</v>
      </c>
      <c r="H29" s="108">
        <v>16.4</v>
      </c>
      <c r="I29" s="108">
        <v>16.4</v>
      </c>
      <c r="J29" s="108">
        <v>11.3</v>
      </c>
      <c r="K29" s="108">
        <v>8.1</v>
      </c>
      <c r="L29" s="108">
        <v>3.7</v>
      </c>
      <c r="M29" s="108">
        <v>-0.8</v>
      </c>
      <c r="N29" s="128">
        <v>7.2</v>
      </c>
    </row>
    <row r="30" ht="15.0" customHeight="1">
      <c r="A30" s="129">
        <f t="shared" si="1"/>
        <v>1987</v>
      </c>
      <c r="B30" s="108">
        <v>-8.1</v>
      </c>
      <c r="C30" s="108">
        <v>-1.8</v>
      </c>
      <c r="D30" s="108">
        <v>-2.5</v>
      </c>
      <c r="E30" s="108">
        <v>7.9</v>
      </c>
      <c r="F30" s="108">
        <v>10.3</v>
      </c>
      <c r="G30" s="108">
        <v>14.6</v>
      </c>
      <c r="H30" s="108">
        <v>17.3</v>
      </c>
      <c r="I30" s="108">
        <v>14.8</v>
      </c>
      <c r="J30" s="108">
        <v>14.4</v>
      </c>
      <c r="K30" s="108">
        <v>8.5</v>
      </c>
      <c r="L30" s="108">
        <v>3.6</v>
      </c>
      <c r="M30" s="108">
        <v>0.3</v>
      </c>
      <c r="N30" s="128">
        <v>6.6</v>
      </c>
    </row>
    <row r="31" ht="15.0" customHeight="1">
      <c r="A31" s="129">
        <f t="shared" si="1"/>
        <v>1988</v>
      </c>
      <c r="B31" s="108">
        <v>1.2</v>
      </c>
      <c r="C31" s="108">
        <v>0.6</v>
      </c>
      <c r="D31" s="108">
        <v>1.0</v>
      </c>
      <c r="E31" s="108">
        <v>7.5</v>
      </c>
      <c r="F31" s="108">
        <v>13.9</v>
      </c>
      <c r="G31" s="108">
        <v>15.0</v>
      </c>
      <c r="H31" s="108">
        <v>17.5</v>
      </c>
      <c r="I31" s="108">
        <v>16.8</v>
      </c>
      <c r="J31" s="108">
        <v>12.8</v>
      </c>
      <c r="K31" s="108">
        <v>8.5</v>
      </c>
      <c r="L31" s="108">
        <v>-0.4</v>
      </c>
      <c r="M31" s="108">
        <v>0.8</v>
      </c>
      <c r="N31" s="128">
        <v>7.9</v>
      </c>
    </row>
    <row r="32" ht="15.0" customHeight="1">
      <c r="A32" s="129">
        <f t="shared" si="1"/>
        <v>1989</v>
      </c>
      <c r="B32" s="108">
        <v>-0.3</v>
      </c>
      <c r="C32" s="108">
        <v>2.2</v>
      </c>
      <c r="D32" s="108">
        <v>5.6</v>
      </c>
      <c r="E32" s="108">
        <v>8.1</v>
      </c>
      <c r="F32" s="108">
        <v>12.8</v>
      </c>
      <c r="G32" s="108">
        <v>14.4</v>
      </c>
      <c r="H32" s="108">
        <v>17.3</v>
      </c>
      <c r="I32" s="108">
        <v>16.7</v>
      </c>
      <c r="J32" s="108">
        <v>13.7</v>
      </c>
      <c r="K32" s="108">
        <v>9.0</v>
      </c>
      <c r="L32" s="108">
        <v>0.8</v>
      </c>
      <c r="M32" s="108">
        <v>0.1</v>
      </c>
      <c r="N32" s="128">
        <v>8.4</v>
      </c>
    </row>
    <row r="33" ht="15.0" customHeight="1">
      <c r="A33" s="129">
        <f t="shared" si="1"/>
        <v>1990</v>
      </c>
      <c r="B33" s="108">
        <v>-0.4</v>
      </c>
      <c r="C33" s="108">
        <v>3.4</v>
      </c>
      <c r="D33" s="108">
        <v>6.0</v>
      </c>
      <c r="E33" s="108">
        <v>6.5</v>
      </c>
      <c r="F33" s="108">
        <v>13.3</v>
      </c>
      <c r="G33" s="108">
        <v>15.4</v>
      </c>
      <c r="H33" s="108">
        <v>16.5</v>
      </c>
      <c r="I33" s="108">
        <v>17.9</v>
      </c>
      <c r="J33" s="108">
        <v>10.8</v>
      </c>
      <c r="K33" s="108">
        <v>8.5</v>
      </c>
      <c r="L33" s="108">
        <v>3.5</v>
      </c>
      <c r="M33" s="108">
        <v>-1.3</v>
      </c>
      <c r="N33" s="128">
        <v>8.4</v>
      </c>
    </row>
    <row r="34" ht="15.0" customHeight="1">
      <c r="A34" s="129">
        <f t="shared" si="1"/>
        <v>1991</v>
      </c>
      <c r="B34" s="108">
        <v>-0.4</v>
      </c>
      <c r="C34" s="108">
        <v>-4.6</v>
      </c>
      <c r="D34" s="108">
        <v>4.8</v>
      </c>
      <c r="E34" s="108">
        <v>6.3</v>
      </c>
      <c r="F34" s="108">
        <v>8.9</v>
      </c>
      <c r="G34" s="108">
        <v>14.3</v>
      </c>
      <c r="H34" s="108">
        <v>18.7</v>
      </c>
      <c r="I34" s="108">
        <v>17.1</v>
      </c>
      <c r="J34" s="108">
        <v>13.9</v>
      </c>
      <c r="K34" s="108">
        <v>6.8</v>
      </c>
      <c r="L34" s="108">
        <v>2.5</v>
      </c>
      <c r="M34" s="108">
        <v>-2.3</v>
      </c>
      <c r="N34" s="128">
        <v>7.2</v>
      </c>
    </row>
    <row r="35" ht="15.0" customHeight="1">
      <c r="A35" s="129">
        <f t="shared" si="1"/>
        <v>1992</v>
      </c>
      <c r="B35" s="108">
        <v>-0.3</v>
      </c>
      <c r="C35" s="108">
        <v>1.2</v>
      </c>
      <c r="D35" s="108">
        <v>3.2</v>
      </c>
      <c r="E35" s="108">
        <v>7.3</v>
      </c>
      <c r="F35" s="108">
        <v>13.6</v>
      </c>
      <c r="G35" s="108">
        <v>17.1</v>
      </c>
      <c r="H35" s="108">
        <v>18.8</v>
      </c>
      <c r="I35" s="108">
        <v>20.8</v>
      </c>
      <c r="J35" s="108">
        <v>13.1</v>
      </c>
      <c r="K35" s="108">
        <v>6.2</v>
      </c>
      <c r="L35" s="108">
        <v>3.3</v>
      </c>
      <c r="M35" s="108">
        <v>-1.5</v>
      </c>
      <c r="N35" s="128">
        <v>8.6</v>
      </c>
    </row>
    <row r="36" ht="15.0" customHeight="1">
      <c r="A36" s="129">
        <f t="shared" si="1"/>
        <v>1993</v>
      </c>
      <c r="B36" s="108">
        <v>-0.2</v>
      </c>
      <c r="C36" s="108">
        <v>-3.0</v>
      </c>
      <c r="D36" s="108">
        <v>1.5</v>
      </c>
      <c r="E36" s="108">
        <v>9.0</v>
      </c>
      <c r="F36" s="108">
        <v>15.0</v>
      </c>
      <c r="G36" s="108">
        <v>15.4</v>
      </c>
      <c r="H36" s="108">
        <v>16.1</v>
      </c>
      <c r="I36" s="108">
        <v>16.6</v>
      </c>
      <c r="J36" s="108">
        <v>12.0</v>
      </c>
      <c r="K36" s="108">
        <v>7.7</v>
      </c>
      <c r="L36" s="108">
        <v>-0.3</v>
      </c>
      <c r="M36" s="108">
        <v>1.5</v>
      </c>
      <c r="N36" s="128">
        <v>7.6</v>
      </c>
    </row>
    <row r="37" ht="15.0" customHeight="1">
      <c r="A37" s="129">
        <f t="shared" si="1"/>
        <v>1994</v>
      </c>
      <c r="B37" s="108">
        <v>1.6</v>
      </c>
      <c r="C37" s="108">
        <v>-1.3</v>
      </c>
      <c r="D37" s="108">
        <v>5.4</v>
      </c>
      <c r="E37" s="108">
        <v>7.5</v>
      </c>
      <c r="F37" s="108">
        <v>12.4</v>
      </c>
      <c r="G37" s="108">
        <v>16.3</v>
      </c>
      <c r="H37" s="108">
        <v>21.0</v>
      </c>
      <c r="I37" s="108">
        <v>18.1</v>
      </c>
      <c r="J37" s="108">
        <v>13.7</v>
      </c>
      <c r="K37" s="108">
        <v>6.1</v>
      </c>
      <c r="L37" s="108">
        <v>5.0</v>
      </c>
      <c r="M37" s="108">
        <v>0.9</v>
      </c>
      <c r="N37" s="128">
        <v>8.9</v>
      </c>
    </row>
    <row r="38" ht="15.0" customHeight="1">
      <c r="A38" s="129">
        <f t="shared" si="1"/>
        <v>1995</v>
      </c>
      <c r="B38" s="108">
        <v>-2.0</v>
      </c>
      <c r="C38" s="108">
        <v>3.1</v>
      </c>
      <c r="D38" s="108">
        <v>2.0</v>
      </c>
      <c r="E38" s="108">
        <v>8.0</v>
      </c>
      <c r="F38" s="108">
        <v>12.1</v>
      </c>
      <c r="G38" s="108">
        <v>14.5</v>
      </c>
      <c r="H38" s="108">
        <v>20.0</v>
      </c>
      <c r="I38" s="108">
        <v>17.2</v>
      </c>
      <c r="J38" s="108">
        <v>11.9</v>
      </c>
      <c r="K38" s="108">
        <v>9.9</v>
      </c>
      <c r="L38" s="108">
        <v>0.3</v>
      </c>
      <c r="M38" s="108">
        <v>-2.7</v>
      </c>
      <c r="N38" s="128">
        <v>7.9</v>
      </c>
    </row>
    <row r="39" ht="15.0" customHeight="1">
      <c r="A39" s="129">
        <f t="shared" si="1"/>
        <v>1996</v>
      </c>
      <c r="B39" s="108">
        <v>-4.7</v>
      </c>
      <c r="C39" s="108">
        <v>-4.8</v>
      </c>
      <c r="D39" s="108">
        <v>-1.0</v>
      </c>
      <c r="E39" s="108">
        <v>7.5</v>
      </c>
      <c r="F39" s="108">
        <v>12.5</v>
      </c>
      <c r="G39" s="108">
        <v>16.0</v>
      </c>
      <c r="H39" s="108">
        <v>15.6</v>
      </c>
      <c r="I39" s="108">
        <v>16.4</v>
      </c>
      <c r="J39" s="108">
        <v>9.7</v>
      </c>
      <c r="K39" s="108">
        <v>8.8</v>
      </c>
      <c r="L39" s="108">
        <v>4.3</v>
      </c>
      <c r="M39" s="108">
        <v>-5.1</v>
      </c>
      <c r="N39" s="128">
        <v>6.3</v>
      </c>
    </row>
    <row r="40" ht="15.0" customHeight="1">
      <c r="A40" s="129">
        <f t="shared" si="1"/>
        <v>1997</v>
      </c>
      <c r="B40" s="108">
        <v>-4.5</v>
      </c>
      <c r="C40" s="108">
        <v>1.4</v>
      </c>
      <c r="D40" s="108">
        <v>3.6</v>
      </c>
      <c r="E40" s="108">
        <v>4.7</v>
      </c>
      <c r="F40" s="108">
        <v>13.1</v>
      </c>
      <c r="G40" s="108">
        <v>16.1</v>
      </c>
      <c r="H40" s="108">
        <v>16.5</v>
      </c>
      <c r="I40" s="108">
        <v>18.2</v>
      </c>
      <c r="J40" s="108">
        <v>12.7</v>
      </c>
      <c r="K40" s="108">
        <v>5.7</v>
      </c>
      <c r="L40" s="108">
        <v>2.7</v>
      </c>
      <c r="M40" s="108">
        <v>0.7</v>
      </c>
      <c r="N40" s="128">
        <v>7.6</v>
      </c>
    </row>
    <row r="41" ht="15.0" customHeight="1">
      <c r="A41" s="129">
        <f t="shared" si="1"/>
        <v>1998</v>
      </c>
      <c r="B41" s="108">
        <v>0.1</v>
      </c>
      <c r="C41" s="108">
        <v>2.6</v>
      </c>
      <c r="D41" s="108">
        <v>2.7</v>
      </c>
      <c r="E41" s="108">
        <v>9.2</v>
      </c>
      <c r="F41" s="108">
        <v>13.4</v>
      </c>
      <c r="G41" s="108">
        <v>16.9</v>
      </c>
      <c r="H41" s="108">
        <v>17.1</v>
      </c>
      <c r="I41" s="108">
        <v>17.1</v>
      </c>
      <c r="J41" s="108">
        <v>12.4</v>
      </c>
      <c r="K41" s="108">
        <v>8.1</v>
      </c>
      <c r="L41" s="108">
        <v>0.1</v>
      </c>
      <c r="M41" s="108">
        <v>-1.9</v>
      </c>
      <c r="N41" s="128">
        <v>8.2</v>
      </c>
    </row>
    <row r="42" ht="15.0" customHeight="1">
      <c r="A42" s="129">
        <f t="shared" si="1"/>
        <v>1999</v>
      </c>
      <c r="B42" s="108">
        <v>-0.4</v>
      </c>
      <c r="C42" s="108">
        <v>-1.7</v>
      </c>
      <c r="D42" s="108">
        <v>4.4</v>
      </c>
      <c r="E42" s="108">
        <v>8.6</v>
      </c>
      <c r="F42" s="108">
        <v>13.5</v>
      </c>
      <c r="G42" s="108">
        <v>15.3</v>
      </c>
      <c r="H42" s="108">
        <v>18.6</v>
      </c>
      <c r="I42" s="108">
        <v>16.7</v>
      </c>
      <c r="J42" s="108">
        <v>16.0</v>
      </c>
      <c r="K42" s="108">
        <v>8.0</v>
      </c>
      <c r="L42" s="108">
        <v>1.6</v>
      </c>
      <c r="M42" s="108">
        <v>-0.4</v>
      </c>
      <c r="N42" s="128">
        <v>8.4</v>
      </c>
    </row>
    <row r="43" ht="15.0" customHeight="1">
      <c r="A43" s="129">
        <f t="shared" si="1"/>
        <v>2000</v>
      </c>
      <c r="B43" s="108">
        <v>-2.4</v>
      </c>
      <c r="C43" s="108">
        <v>2.1</v>
      </c>
      <c r="D43" s="108">
        <v>3.5</v>
      </c>
      <c r="E43" s="108">
        <v>10.9</v>
      </c>
      <c r="F43" s="108">
        <v>14.7</v>
      </c>
      <c r="G43" s="108">
        <v>17.3</v>
      </c>
      <c r="H43" s="108">
        <v>15.4</v>
      </c>
      <c r="I43" s="108">
        <v>18.4</v>
      </c>
      <c r="J43" s="108">
        <v>12.6</v>
      </c>
      <c r="K43" s="108">
        <v>10.8</v>
      </c>
      <c r="L43" s="108">
        <v>5.4</v>
      </c>
      <c r="M43" s="108">
        <v>0.6</v>
      </c>
      <c r="N43" s="128">
        <v>9.1</v>
      </c>
    </row>
    <row r="44" ht="15.0" customHeight="1">
      <c r="A44" s="129">
        <f t="shared" si="1"/>
        <v>2001</v>
      </c>
      <c r="B44" s="108">
        <v>-1.6</v>
      </c>
      <c r="C44" s="108">
        <v>0.3</v>
      </c>
      <c r="D44" s="108">
        <v>3.4</v>
      </c>
      <c r="E44" s="108">
        <v>6.8</v>
      </c>
      <c r="F44" s="108">
        <v>14.3</v>
      </c>
      <c r="G44" s="108">
        <v>14.1</v>
      </c>
      <c r="H44" s="108">
        <v>17.9</v>
      </c>
      <c r="I44" s="108">
        <v>18.2</v>
      </c>
      <c r="J44" s="108">
        <v>11.1</v>
      </c>
      <c r="K44" s="108">
        <v>11.3</v>
      </c>
      <c r="L44" s="108">
        <v>1.5</v>
      </c>
      <c r="M44" s="108">
        <v>-3.6</v>
      </c>
      <c r="N44" s="128">
        <v>7.8</v>
      </c>
    </row>
    <row r="45" ht="15.0" customHeight="1">
      <c r="A45" s="129">
        <f t="shared" si="1"/>
        <v>2002</v>
      </c>
      <c r="B45" s="108">
        <v>-1.3</v>
      </c>
      <c r="C45" s="108">
        <v>3.4</v>
      </c>
      <c r="D45" s="108">
        <v>4.1</v>
      </c>
      <c r="E45" s="108">
        <v>7.5</v>
      </c>
      <c r="F45" s="108">
        <v>15.4</v>
      </c>
      <c r="G45" s="108">
        <v>17.4</v>
      </c>
      <c r="H45" s="108">
        <v>18.5</v>
      </c>
      <c r="I45" s="108">
        <v>18.5</v>
      </c>
      <c r="J45" s="108">
        <v>11.8</v>
      </c>
      <c r="K45" s="108">
        <v>6.8</v>
      </c>
      <c r="L45" s="108">
        <v>4.7</v>
      </c>
      <c r="M45" s="108">
        <v>-2.8</v>
      </c>
      <c r="N45" s="128">
        <v>8.7</v>
      </c>
    </row>
    <row r="46" ht="15.0" customHeight="1">
      <c r="A46" s="129">
        <f t="shared" si="1"/>
        <v>2003</v>
      </c>
      <c r="B46" s="108">
        <v>-2.4</v>
      </c>
      <c r="C46" s="108">
        <v>-4.4</v>
      </c>
      <c r="D46" s="108">
        <v>3.5</v>
      </c>
      <c r="E46" s="108">
        <v>7.1</v>
      </c>
      <c r="F46" s="108">
        <v>15.0</v>
      </c>
      <c r="G46" s="108">
        <v>19.4</v>
      </c>
      <c r="H46" s="108">
        <v>18.4</v>
      </c>
      <c r="I46" s="108">
        <v>20.1</v>
      </c>
      <c r="J46" s="108">
        <v>13.2</v>
      </c>
      <c r="K46" s="108">
        <v>4.9</v>
      </c>
      <c r="L46" s="108">
        <v>4.6</v>
      </c>
      <c r="M46" s="108">
        <v>-0.6</v>
      </c>
      <c r="N46" s="128">
        <v>8.2</v>
      </c>
    </row>
    <row r="47" ht="15.0" customHeight="1">
      <c r="A47" s="129">
        <f t="shared" si="1"/>
        <v>2004</v>
      </c>
      <c r="B47" s="108">
        <v>-3.9</v>
      </c>
      <c r="C47" s="108">
        <v>0.4</v>
      </c>
      <c r="D47" s="108">
        <v>2.4</v>
      </c>
      <c r="E47" s="108">
        <v>8.7</v>
      </c>
      <c r="F47" s="108">
        <v>11.3</v>
      </c>
      <c r="G47" s="108">
        <v>15.3</v>
      </c>
      <c r="H47" s="108">
        <v>17.1</v>
      </c>
      <c r="I47" s="108">
        <v>18.1</v>
      </c>
      <c r="J47" s="108">
        <v>12.8</v>
      </c>
      <c r="K47" s="108">
        <v>9.2</v>
      </c>
      <c r="L47" s="108">
        <v>3.2</v>
      </c>
      <c r="M47" s="108">
        <v>-0.7</v>
      </c>
      <c r="N47" s="128">
        <v>7.8</v>
      </c>
    </row>
    <row r="48" ht="15.0" customHeight="1">
      <c r="A48" s="129">
        <f t="shared" si="1"/>
        <v>2005</v>
      </c>
      <c r="B48" s="108">
        <v>-0.4</v>
      </c>
      <c r="C48" s="108">
        <v>-3.7</v>
      </c>
      <c r="D48" s="108">
        <v>1.0</v>
      </c>
      <c r="E48" s="108">
        <v>8.9</v>
      </c>
      <c r="F48" s="108">
        <v>13.0</v>
      </c>
      <c r="G48" s="108">
        <v>16.1</v>
      </c>
      <c r="H48" s="108">
        <v>18.0</v>
      </c>
      <c r="I48" s="108">
        <v>15.8</v>
      </c>
      <c r="J48" s="108">
        <v>14.1</v>
      </c>
      <c r="K48" s="108">
        <v>9.1</v>
      </c>
      <c r="L48" s="108">
        <v>2.0</v>
      </c>
      <c r="M48" s="108">
        <v>-1.3</v>
      </c>
      <c r="N48" s="128">
        <v>7.7</v>
      </c>
    </row>
    <row r="49" ht="15.0" customHeight="1">
      <c r="A49" s="129">
        <f t="shared" si="1"/>
        <v>2006</v>
      </c>
      <c r="B49" s="108">
        <v>-6.0</v>
      </c>
      <c r="C49" s="108">
        <v>-3.0</v>
      </c>
      <c r="D49" s="108">
        <v>0.1</v>
      </c>
      <c r="E49" s="108">
        <v>8.1</v>
      </c>
      <c r="F49" s="108">
        <v>12.7</v>
      </c>
      <c r="G49" s="108">
        <v>16.9</v>
      </c>
      <c r="H49" s="108">
        <v>21.3</v>
      </c>
      <c r="I49" s="108">
        <v>15.1</v>
      </c>
      <c r="J49" s="108">
        <v>15.5</v>
      </c>
      <c r="K49" s="108">
        <v>10.1</v>
      </c>
      <c r="L49" s="108">
        <v>5.6</v>
      </c>
      <c r="M49" s="108">
        <v>2.3</v>
      </c>
      <c r="N49" s="128">
        <v>8.2</v>
      </c>
    </row>
    <row r="50" ht="15.0" customHeight="1">
      <c r="A50" s="129">
        <f t="shared" si="1"/>
        <v>2007</v>
      </c>
      <c r="B50" s="108">
        <v>3.1</v>
      </c>
      <c r="C50" s="108">
        <v>2.8</v>
      </c>
      <c r="D50" s="108">
        <v>5.1</v>
      </c>
      <c r="E50" s="108">
        <v>10.3</v>
      </c>
      <c r="F50" s="108">
        <v>14.4</v>
      </c>
      <c r="G50" s="108">
        <v>18.1</v>
      </c>
      <c r="H50" s="108">
        <v>18.3</v>
      </c>
      <c r="I50" s="108">
        <v>17.7</v>
      </c>
      <c r="J50" s="108">
        <v>11.3</v>
      </c>
      <c r="K50" s="108">
        <v>7.2</v>
      </c>
      <c r="L50" s="108">
        <v>1.4</v>
      </c>
      <c r="M50" s="108">
        <v>-0.9</v>
      </c>
      <c r="N50" s="128">
        <v>9.1</v>
      </c>
    </row>
    <row r="51" ht="15.0" customHeight="1">
      <c r="A51" s="129">
        <f t="shared" si="1"/>
        <v>2008</v>
      </c>
      <c r="B51" s="108">
        <v>1.3</v>
      </c>
      <c r="C51" s="108">
        <v>2.3</v>
      </c>
      <c r="D51" s="108">
        <v>3.0</v>
      </c>
      <c r="E51" s="108">
        <v>7.8</v>
      </c>
      <c r="F51" s="108">
        <v>13.6</v>
      </c>
      <c r="G51" s="108">
        <v>17.4</v>
      </c>
      <c r="H51" s="108">
        <v>18.0</v>
      </c>
      <c r="I51" s="108">
        <v>17.5</v>
      </c>
      <c r="J51" s="108">
        <v>12.0</v>
      </c>
      <c r="K51" s="108">
        <v>8.3</v>
      </c>
      <c r="L51" s="108">
        <v>4.6</v>
      </c>
      <c r="M51" s="108">
        <v>0.7</v>
      </c>
      <c r="N51" s="128">
        <v>8.9</v>
      </c>
    </row>
    <row r="52" ht="15.0" customHeight="1">
      <c r="A52" s="129">
        <f t="shared" si="1"/>
        <v>2009</v>
      </c>
      <c r="B52" s="108">
        <v>-4.0</v>
      </c>
      <c r="C52" s="108">
        <v>-1.0</v>
      </c>
      <c r="D52" s="108">
        <v>3.2</v>
      </c>
      <c r="E52" s="108">
        <v>12.0</v>
      </c>
      <c r="F52" s="108">
        <v>13.3</v>
      </c>
      <c r="G52" s="108">
        <v>14.9</v>
      </c>
      <c r="H52" s="108">
        <v>18.1</v>
      </c>
      <c r="I52" s="108">
        <v>18.4</v>
      </c>
      <c r="J52" s="108">
        <v>14.7</v>
      </c>
      <c r="K52" s="108">
        <v>7.2</v>
      </c>
      <c r="L52" s="108">
        <v>5.5</v>
      </c>
      <c r="M52" s="108">
        <v>-1.0</v>
      </c>
      <c r="N52" s="128">
        <v>8.4</v>
      </c>
    </row>
    <row r="53" ht="15.0" customHeight="1">
      <c r="A53" s="129">
        <f t="shared" si="1"/>
        <v>2010</v>
      </c>
      <c r="B53" s="108">
        <v>-5.0</v>
      </c>
      <c r="C53" s="108">
        <v>-1.8</v>
      </c>
      <c r="D53" s="108">
        <v>2.7</v>
      </c>
      <c r="E53" s="108">
        <v>8.1</v>
      </c>
      <c r="F53" s="108">
        <v>11.5</v>
      </c>
      <c r="G53" s="108">
        <v>16.6</v>
      </c>
      <c r="H53" s="108">
        <v>20.0</v>
      </c>
      <c r="I53" s="108">
        <v>17.0</v>
      </c>
      <c r="J53" s="108">
        <v>11.3</v>
      </c>
      <c r="K53" s="108">
        <v>6.1</v>
      </c>
      <c r="L53" s="108">
        <v>5.0</v>
      </c>
      <c r="M53" s="108">
        <v>-4.9</v>
      </c>
      <c r="N53" s="128">
        <v>7.2</v>
      </c>
    </row>
    <row r="54" ht="15.0" customHeight="1">
      <c r="A54" s="129">
        <f t="shared" si="1"/>
        <v>2011</v>
      </c>
      <c r="B54" s="108">
        <v>-1.2</v>
      </c>
      <c r="C54" s="108">
        <v>-2.0</v>
      </c>
      <c r="D54" s="108">
        <v>3.9</v>
      </c>
      <c r="E54" s="108">
        <v>10.5</v>
      </c>
      <c r="F54" s="108">
        <v>13.3</v>
      </c>
      <c r="G54" s="108">
        <v>16.9</v>
      </c>
      <c r="H54" s="108">
        <v>16.3</v>
      </c>
      <c r="I54" s="108">
        <v>17.9</v>
      </c>
      <c r="J54" s="108">
        <v>14.6</v>
      </c>
      <c r="K54" s="108">
        <v>7.8</v>
      </c>
      <c r="L54" s="108">
        <v>2.5</v>
      </c>
      <c r="M54" s="108">
        <v>1.9</v>
      </c>
      <c r="N54" s="128">
        <v>8.5</v>
      </c>
    </row>
    <row r="55" ht="15.0" customHeight="1">
      <c r="A55" s="129">
        <f t="shared" si="1"/>
        <v>2012</v>
      </c>
      <c r="B55" s="108">
        <v>-0.2</v>
      </c>
      <c r="C55" s="108">
        <v>-5.2</v>
      </c>
      <c r="D55" s="108">
        <v>5.2</v>
      </c>
      <c r="E55" s="108">
        <v>8.4</v>
      </c>
      <c r="F55" s="108">
        <v>14.4</v>
      </c>
      <c r="G55" s="108">
        <v>16.9</v>
      </c>
      <c r="H55" s="108">
        <v>18.2</v>
      </c>
      <c r="I55" s="108">
        <v>18.2</v>
      </c>
      <c r="J55" s="108">
        <v>13.2</v>
      </c>
      <c r="K55" s="108">
        <v>7.4</v>
      </c>
      <c r="L55" s="108">
        <v>4.8</v>
      </c>
      <c r="M55" s="108">
        <v>-1.4</v>
      </c>
      <c r="N55" s="128">
        <v>8.3</v>
      </c>
    </row>
    <row r="56" ht="15.0" customHeight="1">
      <c r="A56" s="129">
        <f t="shared" si="1"/>
        <v>2013</v>
      </c>
      <c r="B56" s="108">
        <v>-1.9</v>
      </c>
      <c r="C56" s="108">
        <v>-1.4</v>
      </c>
      <c r="D56" s="108">
        <v>-0.7</v>
      </c>
      <c r="E56" s="108">
        <v>8.1</v>
      </c>
      <c r="F56" s="108">
        <v>12.0</v>
      </c>
      <c r="G56" s="108">
        <v>15.8</v>
      </c>
      <c r="H56" s="108">
        <v>19.4</v>
      </c>
      <c r="I56" s="108">
        <v>17.7</v>
      </c>
      <c r="J56" s="108">
        <v>11.8</v>
      </c>
      <c r="K56" s="108">
        <v>9.0</v>
      </c>
      <c r="L56" s="108">
        <v>4.1</v>
      </c>
      <c r="M56" s="108">
        <v>1.2</v>
      </c>
      <c r="N56" s="128">
        <v>7.9</v>
      </c>
    </row>
    <row r="57" ht="15.0" customHeight="1">
      <c r="A57" s="129">
        <f t="shared" si="1"/>
        <v>2014</v>
      </c>
      <c r="B57" s="108">
        <v>0.5</v>
      </c>
      <c r="C57" s="108">
        <v>2.1</v>
      </c>
      <c r="D57" s="108">
        <v>6.2</v>
      </c>
      <c r="E57" s="108">
        <v>9.8</v>
      </c>
      <c r="F57" s="108">
        <v>12.1</v>
      </c>
      <c r="G57" s="108">
        <v>16.0</v>
      </c>
      <c r="H57" s="108">
        <v>19.2</v>
      </c>
      <c r="I57" s="108">
        <v>15.7</v>
      </c>
      <c r="J57" s="108">
        <v>14.0</v>
      </c>
      <c r="K57" s="108">
        <v>10.0</v>
      </c>
      <c r="L57" s="108">
        <v>6.0</v>
      </c>
      <c r="M57" s="108">
        <v>1.6</v>
      </c>
      <c r="N57" s="128">
        <v>9.4</v>
      </c>
    </row>
    <row r="58" ht="15.0" customHeight="1">
      <c r="A58" s="129">
        <f t="shared" si="1"/>
        <v>2015</v>
      </c>
      <c r="B58" s="108">
        <v>0.9</v>
      </c>
      <c r="C58" s="108">
        <v>-0.1</v>
      </c>
      <c r="D58" s="108">
        <v>4.0</v>
      </c>
      <c r="E58" s="108">
        <v>7.8</v>
      </c>
      <c r="F58" s="108">
        <v>12.4</v>
      </c>
      <c r="G58" s="108">
        <v>16.1</v>
      </c>
      <c r="H58" s="108">
        <v>20.2</v>
      </c>
      <c r="I58" s="108">
        <v>21.3</v>
      </c>
      <c r="J58" s="108">
        <v>13.1</v>
      </c>
      <c r="K58" s="108">
        <v>7.8</v>
      </c>
      <c r="L58" s="108">
        <v>5.7</v>
      </c>
      <c r="M58" s="108">
        <v>3.7</v>
      </c>
      <c r="N58" s="128">
        <v>9.4</v>
      </c>
    </row>
    <row r="59" ht="15.0" customHeight="1">
      <c r="A59" s="129">
        <f t="shared" si="1"/>
        <v>2016</v>
      </c>
      <c r="B59" s="108">
        <v>-1.4</v>
      </c>
      <c r="C59" s="108">
        <v>3.0</v>
      </c>
      <c r="D59" s="108">
        <v>3.3</v>
      </c>
      <c r="E59" s="108">
        <v>7.7</v>
      </c>
      <c r="F59" s="108">
        <v>13.4</v>
      </c>
      <c r="G59" s="108">
        <v>17.2</v>
      </c>
      <c r="H59" s="108">
        <v>18.6</v>
      </c>
      <c r="I59" s="108">
        <v>17.0</v>
      </c>
      <c r="J59" s="108">
        <v>15.8</v>
      </c>
      <c r="K59" s="108">
        <v>7.4</v>
      </c>
      <c r="L59" s="108">
        <v>2.7</v>
      </c>
      <c r="M59" s="108">
        <v>-0.5</v>
      </c>
      <c r="N59" s="128">
        <v>8.7</v>
      </c>
    </row>
    <row r="60" ht="15.0" customHeight="1">
      <c r="A60" s="129">
        <f t="shared" si="1"/>
        <v>2017</v>
      </c>
      <c r="B60" s="108">
        <v>-5.6</v>
      </c>
      <c r="C60" s="108">
        <v>1.1</v>
      </c>
      <c r="D60" s="108">
        <v>5.9</v>
      </c>
      <c r="E60" s="108">
        <v>6.9</v>
      </c>
      <c r="F60" s="108">
        <v>13.8</v>
      </c>
      <c r="G60" s="108">
        <v>18.2</v>
      </c>
      <c r="H60" s="108">
        <v>18.5</v>
      </c>
      <c r="I60" s="108">
        <v>18.8</v>
      </c>
      <c r="J60" s="108">
        <v>11.8</v>
      </c>
      <c r="K60" s="108">
        <v>9.5</v>
      </c>
      <c r="L60" s="108">
        <v>3.7</v>
      </c>
      <c r="M60" s="108">
        <v>0.8</v>
      </c>
      <c r="N60" s="128">
        <v>8.6</v>
      </c>
    </row>
    <row r="61" ht="15.0" customHeight="1">
      <c r="A61" s="129">
        <f t="shared" si="1"/>
        <v>2018</v>
      </c>
      <c r="B61" s="108">
        <v>1.8</v>
      </c>
      <c r="C61" s="108">
        <v>-3.5</v>
      </c>
      <c r="D61" s="108">
        <v>0.8</v>
      </c>
      <c r="E61" s="108">
        <v>12.7</v>
      </c>
      <c r="F61" s="108">
        <v>16.2</v>
      </c>
      <c r="G61" s="108">
        <v>17.5</v>
      </c>
      <c r="H61" s="108">
        <v>19.7</v>
      </c>
      <c r="I61" s="108">
        <v>20.6</v>
      </c>
      <c r="J61" s="108">
        <v>14.5</v>
      </c>
      <c r="K61" s="108">
        <v>10.0</v>
      </c>
      <c r="L61" s="108">
        <v>4.3</v>
      </c>
      <c r="M61" s="108">
        <v>1.2</v>
      </c>
      <c r="N61" s="128">
        <v>9.6</v>
      </c>
    </row>
    <row r="62" ht="15.0" customHeight="1">
      <c r="A62" s="129">
        <f t="shared" si="1"/>
        <v>2019</v>
      </c>
      <c r="B62" s="130">
        <v>-1.7</v>
      </c>
      <c r="C62" s="131">
        <v>1.7</v>
      </c>
      <c r="D62" s="131">
        <v>5.6</v>
      </c>
      <c r="E62" s="131">
        <v>9.4</v>
      </c>
      <c r="F62" s="131">
        <v>10.7</v>
      </c>
      <c r="G62" s="132">
        <v>20.7</v>
      </c>
      <c r="H62" s="132">
        <v>18.8</v>
      </c>
      <c r="I62" s="132">
        <v>18.9</v>
      </c>
      <c r="J62" s="132">
        <v>13.3</v>
      </c>
      <c r="K62" s="132">
        <v>9.5</v>
      </c>
      <c r="L62" s="132">
        <v>5.6</v>
      </c>
      <c r="M62" s="133">
        <v>1.9</v>
      </c>
      <c r="N62" s="134">
        <v>9.5</v>
      </c>
    </row>
    <row r="63" ht="15.0" customHeight="1">
      <c r="A63" s="135">
        <v>2020.0</v>
      </c>
      <c r="B63" s="136">
        <v>0.3</v>
      </c>
      <c r="C63" s="137">
        <v>3.7</v>
      </c>
      <c r="D63" s="137">
        <v>3.9</v>
      </c>
      <c r="E63" s="137">
        <v>9.2</v>
      </c>
      <c r="F63" s="137">
        <v>10.9</v>
      </c>
      <c r="G63" s="137">
        <v>16.4</v>
      </c>
      <c r="H63" s="137">
        <v>17.7</v>
      </c>
      <c r="I63" s="137">
        <v>18.8</v>
      </c>
      <c r="J63" s="137">
        <v>14.0</v>
      </c>
      <c r="K63" s="137">
        <v>9.0</v>
      </c>
      <c r="L63" s="137">
        <v>3.9</v>
      </c>
      <c r="M63" s="138">
        <v>1.7</v>
      </c>
      <c r="N63" s="134">
        <v>9.1</v>
      </c>
    </row>
    <row r="64" ht="15.0" customHeight="1">
      <c r="A64" s="135">
        <v>2021.0</v>
      </c>
      <c r="B64" s="136">
        <v>-1.1</v>
      </c>
      <c r="C64" s="137">
        <v>0.8</v>
      </c>
      <c r="D64" s="137">
        <v>2.6</v>
      </c>
      <c r="E64" s="137">
        <v>5.4</v>
      </c>
      <c r="F64" s="137">
        <v>10.6</v>
      </c>
      <c r="G64" s="137">
        <v>18.8</v>
      </c>
      <c r="H64" s="137">
        <v>18.8</v>
      </c>
      <c r="I64" s="137">
        <v>16.0</v>
      </c>
      <c r="J64" s="137">
        <v>14.2</v>
      </c>
      <c r="K64" s="137">
        <v>8.0</v>
      </c>
      <c r="L64" s="137">
        <v>3.6</v>
      </c>
      <c r="M64" s="138">
        <v>0.4</v>
      </c>
      <c r="N64" s="134">
        <v>8.0</v>
      </c>
    </row>
    <row r="65" ht="15.0" customHeight="1">
      <c r="A65" s="135">
        <v>2022.0</v>
      </c>
      <c r="B65" s="137">
        <v>0.6</v>
      </c>
      <c r="C65" s="137">
        <v>2.8</v>
      </c>
      <c r="D65" s="137">
        <v>3.1</v>
      </c>
      <c r="E65" s="137">
        <v>6.4</v>
      </c>
      <c r="F65" s="137">
        <v>14.3</v>
      </c>
      <c r="G65" s="137">
        <v>18.7</v>
      </c>
      <c r="H65" s="137">
        <v>18.6</v>
      </c>
      <c r="I65" s="137">
        <v>19.1</v>
      </c>
      <c r="J65" s="137">
        <v>12.0</v>
      </c>
      <c r="K65" s="137">
        <v>10.7</v>
      </c>
      <c r="L65" s="137">
        <v>4.1</v>
      </c>
      <c r="M65" s="137">
        <v>0.3</v>
      </c>
      <c r="N65" s="134">
        <v>9.2</v>
      </c>
    </row>
    <row r="66" ht="15.0" customHeight="1">
      <c r="A66" s="135">
        <v>2023.0</v>
      </c>
      <c r="B66" s="137">
        <v>2.0</v>
      </c>
      <c r="C66" s="137">
        <v>1.2</v>
      </c>
      <c r="D66" s="137">
        <v>4.7</v>
      </c>
      <c r="E66" s="137">
        <v>6.4</v>
      </c>
      <c r="F66" s="137">
        <v>12.6</v>
      </c>
      <c r="G66" s="137">
        <v>17.2</v>
      </c>
      <c r="H66" s="137">
        <v>19.6</v>
      </c>
      <c r="I66" s="137">
        <v>18.6</v>
      </c>
      <c r="J66" s="137">
        <v>16.5</v>
      </c>
      <c r="K66" s="137">
        <v>11.1</v>
      </c>
      <c r="L66" s="137">
        <v>4.1</v>
      </c>
      <c r="M66" s="137">
        <f>12*N66-sum(B66:L66)</f>
        <v>2.4</v>
      </c>
      <c r="N66" s="134">
        <v>9.7</v>
      </c>
    </row>
    <row r="67" ht="15.0" customHeight="1">
      <c r="A67" s="135">
        <v>2024.0</v>
      </c>
      <c r="B67" s="139">
        <v>-0.5</v>
      </c>
      <c r="C67" s="139">
        <v>5.7</v>
      </c>
      <c r="D67" s="139">
        <v>7.0</v>
      </c>
      <c r="E67" s="139">
        <v>10.0</v>
      </c>
      <c r="F67" s="139">
        <v>14.5</v>
      </c>
      <c r="G67" s="139">
        <v>17.9</v>
      </c>
      <c r="H67" s="139">
        <v>19.8</v>
      </c>
      <c r="I67" s="139">
        <v>20.2</v>
      </c>
      <c r="J67" s="139">
        <v>15.0</v>
      </c>
      <c r="K67" s="139">
        <v>9.8</v>
      </c>
      <c r="L67" s="139">
        <v>2.8</v>
      </c>
      <c r="M67" s="139">
        <v>0.9</v>
      </c>
      <c r="N67" s="134">
        <v>10.3</v>
      </c>
    </row>
  </sheetData>
  <mergeCells count="2">
    <mergeCell ref="B1:N1"/>
    <mergeCell ref="B2:N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8.25"/>
    <col customWidth="1" min="2" max="71" width="6.38"/>
  </cols>
  <sheetData>
    <row r="1">
      <c r="A1" s="140" t="str">
        <f t="array" ref="A1:BM14">TRANSPOSE('Vstup Měsíční teploty ČR'!A3:N67)</f>
        <v>Rok</v>
      </c>
      <c r="B1" s="141">
        <v>1961.0</v>
      </c>
      <c r="C1" s="141">
        <v>1962.0</v>
      </c>
      <c r="D1" s="141">
        <v>1963.0</v>
      </c>
      <c r="E1" s="141">
        <v>1964.0</v>
      </c>
      <c r="F1" s="141">
        <v>1965.0</v>
      </c>
      <c r="G1" s="141">
        <v>1966.0</v>
      </c>
      <c r="H1" s="141">
        <v>1967.0</v>
      </c>
      <c r="I1" s="141">
        <v>1968.0</v>
      </c>
      <c r="J1" s="141">
        <v>1969.0</v>
      </c>
      <c r="K1" s="141">
        <v>1970.0</v>
      </c>
      <c r="L1" s="141">
        <v>1971.0</v>
      </c>
      <c r="M1" s="141">
        <v>1972.0</v>
      </c>
      <c r="N1" s="141">
        <v>1973.0</v>
      </c>
      <c r="O1" s="141">
        <v>1974.0</v>
      </c>
      <c r="P1" s="141">
        <v>1975.0</v>
      </c>
      <c r="Q1" s="141">
        <v>1976.0</v>
      </c>
      <c r="R1" s="141">
        <v>1977.0</v>
      </c>
      <c r="S1" s="141">
        <v>1978.0</v>
      </c>
      <c r="T1" s="141">
        <v>1979.0</v>
      </c>
      <c r="U1" s="141">
        <v>1980.0</v>
      </c>
      <c r="V1" s="141">
        <v>1981.0</v>
      </c>
      <c r="W1" s="141">
        <v>1982.0</v>
      </c>
      <c r="X1" s="141">
        <v>1983.0</v>
      </c>
      <c r="Y1" s="141">
        <v>1984.0</v>
      </c>
      <c r="Z1" s="141">
        <v>1985.0</v>
      </c>
      <c r="AA1" s="141">
        <v>1986.0</v>
      </c>
      <c r="AB1" s="141">
        <v>1987.0</v>
      </c>
      <c r="AC1" s="141">
        <v>1988.0</v>
      </c>
      <c r="AD1" s="141">
        <v>1989.0</v>
      </c>
      <c r="AE1" s="141">
        <v>1990.0</v>
      </c>
      <c r="AF1" s="141">
        <v>1991.0</v>
      </c>
      <c r="AG1" s="141">
        <v>1992.0</v>
      </c>
      <c r="AH1" s="141">
        <v>1993.0</v>
      </c>
      <c r="AI1" s="141">
        <v>1994.0</v>
      </c>
      <c r="AJ1" s="141">
        <v>1995.0</v>
      </c>
      <c r="AK1" s="141">
        <v>1996.0</v>
      </c>
      <c r="AL1" s="141">
        <v>1997.0</v>
      </c>
      <c r="AM1" s="141">
        <v>1998.0</v>
      </c>
      <c r="AN1" s="141">
        <v>1999.0</v>
      </c>
      <c r="AO1" s="141">
        <v>2000.0</v>
      </c>
      <c r="AP1" s="141">
        <v>2001.0</v>
      </c>
      <c r="AQ1" s="141">
        <v>2002.0</v>
      </c>
      <c r="AR1" s="141">
        <v>2003.0</v>
      </c>
      <c r="AS1" s="141">
        <v>2004.0</v>
      </c>
      <c r="AT1" s="141">
        <v>2005.0</v>
      </c>
      <c r="AU1" s="141">
        <v>2006.0</v>
      </c>
      <c r="AV1" s="141">
        <v>2007.0</v>
      </c>
      <c r="AW1" s="141">
        <v>2008.0</v>
      </c>
      <c r="AX1" s="141">
        <v>2009.0</v>
      </c>
      <c r="AY1" s="141">
        <v>2010.0</v>
      </c>
      <c r="AZ1" s="141">
        <v>2011.0</v>
      </c>
      <c r="BA1" s="141">
        <v>2012.0</v>
      </c>
      <c r="BB1" s="141">
        <v>2013.0</v>
      </c>
      <c r="BC1" s="141">
        <v>2014.0</v>
      </c>
      <c r="BD1" s="141">
        <v>2015.0</v>
      </c>
      <c r="BE1" s="141">
        <v>2016.0</v>
      </c>
      <c r="BF1" s="141">
        <v>2017.0</v>
      </c>
      <c r="BG1" s="141">
        <v>2018.0</v>
      </c>
      <c r="BH1" s="141">
        <v>2019.0</v>
      </c>
      <c r="BI1" s="142">
        <v>2020.0</v>
      </c>
      <c r="BJ1" s="142">
        <v>2021.0</v>
      </c>
      <c r="BK1" s="142">
        <v>2022.0</v>
      </c>
      <c r="BL1" s="142">
        <v>2023.0</v>
      </c>
      <c r="BM1" s="142">
        <v>2024.0</v>
      </c>
      <c r="BN1" s="141"/>
      <c r="BO1" s="141"/>
      <c r="BP1" s="141"/>
      <c r="BQ1" s="141"/>
      <c r="BR1" s="141"/>
      <c r="BS1" s="141"/>
    </row>
    <row r="2" ht="15.0" customHeight="1">
      <c r="A2" s="143" t="s">
        <v>50</v>
      </c>
      <c r="B2" s="144">
        <v>-3.4</v>
      </c>
      <c r="C2" s="145">
        <v>-1.2</v>
      </c>
      <c r="D2" s="145">
        <v>-8.9</v>
      </c>
      <c r="E2" s="145">
        <v>-5.9</v>
      </c>
      <c r="F2" s="145">
        <v>-0.8</v>
      </c>
      <c r="G2" s="145">
        <v>-5.4</v>
      </c>
      <c r="H2" s="145">
        <v>-2.5</v>
      </c>
      <c r="I2" s="145">
        <v>-3.7</v>
      </c>
      <c r="J2" s="145">
        <v>-2.9</v>
      </c>
      <c r="K2" s="145">
        <v>-3.9</v>
      </c>
      <c r="L2" s="145">
        <v>-3.6</v>
      </c>
      <c r="M2" s="145">
        <v>-3.9</v>
      </c>
      <c r="N2" s="145">
        <v>-1.8</v>
      </c>
      <c r="O2" s="145">
        <v>0.8</v>
      </c>
      <c r="P2" s="145">
        <v>2.0</v>
      </c>
      <c r="Q2" s="145">
        <v>-1.1</v>
      </c>
      <c r="R2" s="145">
        <v>-1.8</v>
      </c>
      <c r="S2" s="145">
        <v>-1.0</v>
      </c>
      <c r="T2" s="145">
        <v>-5.8</v>
      </c>
      <c r="U2" s="145">
        <v>-5.1</v>
      </c>
      <c r="V2" s="145">
        <v>-4.1</v>
      </c>
      <c r="W2" s="145">
        <v>-5.4</v>
      </c>
      <c r="X2" s="145">
        <v>2.2</v>
      </c>
      <c r="Y2" s="145">
        <v>-1.2</v>
      </c>
      <c r="Z2" s="145">
        <v>-7.9</v>
      </c>
      <c r="AA2" s="145">
        <v>-1.7</v>
      </c>
      <c r="AB2" s="145">
        <v>-8.1</v>
      </c>
      <c r="AC2" s="145">
        <v>1.2</v>
      </c>
      <c r="AD2" s="145">
        <v>-0.3</v>
      </c>
      <c r="AE2" s="145">
        <v>-0.4</v>
      </c>
      <c r="AF2" s="145">
        <v>-0.4</v>
      </c>
      <c r="AG2" s="145">
        <v>-0.3</v>
      </c>
      <c r="AH2" s="145">
        <v>-0.2</v>
      </c>
      <c r="AI2" s="145">
        <v>1.6</v>
      </c>
      <c r="AJ2" s="145">
        <v>-2.0</v>
      </c>
      <c r="AK2" s="145">
        <v>-4.7</v>
      </c>
      <c r="AL2" s="145">
        <v>-4.5</v>
      </c>
      <c r="AM2" s="145">
        <v>0.1</v>
      </c>
      <c r="AN2" s="145">
        <v>-0.4</v>
      </c>
      <c r="AO2" s="145">
        <v>-2.4</v>
      </c>
      <c r="AP2" s="145">
        <v>-1.6</v>
      </c>
      <c r="AQ2" s="145">
        <v>-1.3</v>
      </c>
      <c r="AR2" s="145">
        <v>-2.4</v>
      </c>
      <c r="AS2" s="145">
        <v>-3.9</v>
      </c>
      <c r="AT2" s="145">
        <v>-0.4</v>
      </c>
      <c r="AU2" s="145">
        <v>-6.0</v>
      </c>
      <c r="AV2" s="145">
        <v>3.1</v>
      </c>
      <c r="AW2" s="145">
        <v>1.3</v>
      </c>
      <c r="AX2" s="145">
        <v>-4.0</v>
      </c>
      <c r="AY2" s="145">
        <v>-5.0</v>
      </c>
      <c r="AZ2" s="145">
        <v>-1.2</v>
      </c>
      <c r="BA2" s="145">
        <v>-0.2</v>
      </c>
      <c r="BB2" s="145">
        <v>-1.9</v>
      </c>
      <c r="BC2" s="145">
        <v>0.5</v>
      </c>
      <c r="BD2" s="145">
        <v>0.9</v>
      </c>
      <c r="BE2" s="145">
        <v>-1.4</v>
      </c>
      <c r="BF2" s="145">
        <v>-5.6</v>
      </c>
      <c r="BG2" s="145">
        <v>1.8</v>
      </c>
      <c r="BH2" s="145">
        <v>-1.7</v>
      </c>
      <c r="BI2" s="145">
        <v>0.3</v>
      </c>
      <c r="BJ2" s="145">
        <v>-1.1</v>
      </c>
      <c r="BK2" s="139">
        <v>0.6</v>
      </c>
      <c r="BL2" s="139">
        <v>2.0</v>
      </c>
      <c r="BM2" s="139">
        <v>-0.5</v>
      </c>
      <c r="BN2" s="146"/>
      <c r="BO2" s="146"/>
      <c r="BP2" s="146"/>
      <c r="BQ2" s="146"/>
      <c r="BR2" s="146"/>
      <c r="BS2" s="146"/>
    </row>
    <row r="3" ht="15.0" customHeight="1">
      <c r="A3" s="143" t="s">
        <v>51</v>
      </c>
      <c r="B3" s="144">
        <v>1.7</v>
      </c>
      <c r="C3" s="145">
        <v>-2.1</v>
      </c>
      <c r="D3" s="145">
        <v>-6.9</v>
      </c>
      <c r="E3" s="145">
        <v>-2.3</v>
      </c>
      <c r="F3" s="145">
        <v>-4.7</v>
      </c>
      <c r="G3" s="145">
        <v>3.7</v>
      </c>
      <c r="H3" s="145">
        <v>0.4</v>
      </c>
      <c r="I3" s="145">
        <v>-0.2</v>
      </c>
      <c r="J3" s="145">
        <v>-2.9</v>
      </c>
      <c r="K3" s="145">
        <v>-2.7</v>
      </c>
      <c r="L3" s="145">
        <v>-0.2</v>
      </c>
      <c r="M3" s="145">
        <v>1.0</v>
      </c>
      <c r="N3" s="145">
        <v>-0.2</v>
      </c>
      <c r="O3" s="145">
        <v>2.3</v>
      </c>
      <c r="P3" s="145">
        <v>-1.1</v>
      </c>
      <c r="Q3" s="145">
        <v>-1.2</v>
      </c>
      <c r="R3" s="145">
        <v>0.8</v>
      </c>
      <c r="S3" s="145">
        <v>-3.1</v>
      </c>
      <c r="T3" s="145">
        <v>-2.0</v>
      </c>
      <c r="U3" s="145">
        <v>0.5</v>
      </c>
      <c r="V3" s="145">
        <v>-1.5</v>
      </c>
      <c r="W3" s="145">
        <v>-2.4</v>
      </c>
      <c r="X3" s="145">
        <v>-3.5</v>
      </c>
      <c r="Y3" s="145">
        <v>-1.8</v>
      </c>
      <c r="Z3" s="145">
        <v>-5.8</v>
      </c>
      <c r="AA3" s="145">
        <v>-7.8</v>
      </c>
      <c r="AB3" s="145">
        <v>-1.8</v>
      </c>
      <c r="AC3" s="145">
        <v>0.6</v>
      </c>
      <c r="AD3" s="145">
        <v>2.2</v>
      </c>
      <c r="AE3" s="145">
        <v>3.4</v>
      </c>
      <c r="AF3" s="145">
        <v>-4.6</v>
      </c>
      <c r="AG3" s="145">
        <v>1.2</v>
      </c>
      <c r="AH3" s="145">
        <v>-3.0</v>
      </c>
      <c r="AI3" s="145">
        <v>-1.3</v>
      </c>
      <c r="AJ3" s="145">
        <v>3.1</v>
      </c>
      <c r="AK3" s="145">
        <v>-4.8</v>
      </c>
      <c r="AL3" s="145">
        <v>1.4</v>
      </c>
      <c r="AM3" s="145">
        <v>2.6</v>
      </c>
      <c r="AN3" s="145">
        <v>-1.7</v>
      </c>
      <c r="AO3" s="145">
        <v>2.1</v>
      </c>
      <c r="AP3" s="145">
        <v>0.3</v>
      </c>
      <c r="AQ3" s="145">
        <v>3.4</v>
      </c>
      <c r="AR3" s="145">
        <v>-4.4</v>
      </c>
      <c r="AS3" s="145">
        <v>0.4</v>
      </c>
      <c r="AT3" s="145">
        <v>-3.7</v>
      </c>
      <c r="AU3" s="145">
        <v>-3.0</v>
      </c>
      <c r="AV3" s="145">
        <v>2.8</v>
      </c>
      <c r="AW3" s="145">
        <v>2.3</v>
      </c>
      <c r="AX3" s="145">
        <v>-1.0</v>
      </c>
      <c r="AY3" s="145">
        <v>-1.8</v>
      </c>
      <c r="AZ3" s="145">
        <v>-2.0</v>
      </c>
      <c r="BA3" s="145">
        <v>-5.2</v>
      </c>
      <c r="BB3" s="145">
        <v>-1.4</v>
      </c>
      <c r="BC3" s="145">
        <v>2.1</v>
      </c>
      <c r="BD3" s="145">
        <v>-0.1</v>
      </c>
      <c r="BE3" s="145">
        <v>3.0</v>
      </c>
      <c r="BF3" s="145">
        <v>1.1</v>
      </c>
      <c r="BG3" s="145">
        <v>-3.5</v>
      </c>
      <c r="BH3" s="145">
        <v>1.7</v>
      </c>
      <c r="BI3" s="145">
        <v>3.7</v>
      </c>
      <c r="BJ3" s="145">
        <v>0.8</v>
      </c>
      <c r="BK3" s="139">
        <v>2.8</v>
      </c>
      <c r="BL3" s="139">
        <v>1.2</v>
      </c>
      <c r="BM3" s="139">
        <v>5.7</v>
      </c>
      <c r="BN3" s="146"/>
      <c r="BO3" s="146"/>
      <c r="BP3" s="146"/>
      <c r="BQ3" s="146"/>
      <c r="BR3" s="146"/>
      <c r="BS3" s="146"/>
    </row>
    <row r="4" ht="15.0" customHeight="1">
      <c r="A4" s="143" t="s">
        <v>52</v>
      </c>
      <c r="B4" s="144">
        <v>5.1</v>
      </c>
      <c r="C4" s="145">
        <v>-1.1</v>
      </c>
      <c r="D4" s="145">
        <v>0.6</v>
      </c>
      <c r="E4" s="145">
        <v>-1.2</v>
      </c>
      <c r="F4" s="145">
        <v>0.7</v>
      </c>
      <c r="G4" s="145">
        <v>2.2</v>
      </c>
      <c r="H4" s="145">
        <v>4.1</v>
      </c>
      <c r="I4" s="145">
        <v>3.3</v>
      </c>
      <c r="J4" s="145">
        <v>-0.4</v>
      </c>
      <c r="K4" s="145">
        <v>0.3</v>
      </c>
      <c r="L4" s="145">
        <v>-0.3</v>
      </c>
      <c r="M4" s="145">
        <v>4.6</v>
      </c>
      <c r="N4" s="145">
        <v>3.1</v>
      </c>
      <c r="O4" s="145">
        <v>5.6</v>
      </c>
      <c r="P4" s="145">
        <v>3.2</v>
      </c>
      <c r="Q4" s="145">
        <v>-0.5</v>
      </c>
      <c r="R4" s="145">
        <v>5.4</v>
      </c>
      <c r="S4" s="145">
        <v>3.7</v>
      </c>
      <c r="T4" s="145">
        <v>3.3</v>
      </c>
      <c r="U4" s="145">
        <v>1.7</v>
      </c>
      <c r="V4" s="145">
        <v>5.8</v>
      </c>
      <c r="W4" s="145">
        <v>3.4</v>
      </c>
      <c r="X4" s="145">
        <v>3.5</v>
      </c>
      <c r="Y4" s="145">
        <v>1.1</v>
      </c>
      <c r="Z4" s="145">
        <v>2.1</v>
      </c>
      <c r="AA4" s="145">
        <v>2.1</v>
      </c>
      <c r="AB4" s="145">
        <v>-2.5</v>
      </c>
      <c r="AC4" s="145">
        <v>1.0</v>
      </c>
      <c r="AD4" s="145">
        <v>5.6</v>
      </c>
      <c r="AE4" s="145">
        <v>6.0</v>
      </c>
      <c r="AF4" s="145">
        <v>4.8</v>
      </c>
      <c r="AG4" s="145">
        <v>3.2</v>
      </c>
      <c r="AH4" s="145">
        <v>1.5</v>
      </c>
      <c r="AI4" s="145">
        <v>5.4</v>
      </c>
      <c r="AJ4" s="145">
        <v>2.0</v>
      </c>
      <c r="AK4" s="145">
        <v>-1.0</v>
      </c>
      <c r="AL4" s="145">
        <v>3.6</v>
      </c>
      <c r="AM4" s="145">
        <v>2.7</v>
      </c>
      <c r="AN4" s="145">
        <v>4.4</v>
      </c>
      <c r="AO4" s="145">
        <v>3.5</v>
      </c>
      <c r="AP4" s="145">
        <v>3.4</v>
      </c>
      <c r="AQ4" s="145">
        <v>4.1</v>
      </c>
      <c r="AR4" s="145">
        <v>3.5</v>
      </c>
      <c r="AS4" s="145">
        <v>2.4</v>
      </c>
      <c r="AT4" s="145">
        <v>1.0</v>
      </c>
      <c r="AU4" s="145">
        <v>0.1</v>
      </c>
      <c r="AV4" s="145">
        <v>5.1</v>
      </c>
      <c r="AW4" s="145">
        <v>3.0</v>
      </c>
      <c r="AX4" s="145">
        <v>3.2</v>
      </c>
      <c r="AY4" s="145">
        <v>2.7</v>
      </c>
      <c r="AZ4" s="145">
        <v>3.9</v>
      </c>
      <c r="BA4" s="145">
        <v>5.2</v>
      </c>
      <c r="BB4" s="145">
        <v>-0.7</v>
      </c>
      <c r="BC4" s="145">
        <v>6.2</v>
      </c>
      <c r="BD4" s="145">
        <v>4.0</v>
      </c>
      <c r="BE4" s="145">
        <v>3.3</v>
      </c>
      <c r="BF4" s="145">
        <v>5.9</v>
      </c>
      <c r="BG4" s="145">
        <v>0.8</v>
      </c>
      <c r="BH4" s="145">
        <v>5.6</v>
      </c>
      <c r="BI4" s="145">
        <v>3.9</v>
      </c>
      <c r="BJ4" s="145">
        <v>2.6</v>
      </c>
      <c r="BK4" s="139">
        <v>3.1</v>
      </c>
      <c r="BL4" s="139">
        <v>4.7</v>
      </c>
      <c r="BM4" s="139">
        <v>7.0</v>
      </c>
      <c r="BN4" s="146"/>
      <c r="BO4" s="146"/>
      <c r="BP4" s="146"/>
      <c r="BQ4" s="146"/>
      <c r="BR4" s="146"/>
      <c r="BS4" s="146"/>
    </row>
    <row r="5" ht="15.0" customHeight="1">
      <c r="A5" s="143" t="s">
        <v>53</v>
      </c>
      <c r="B5" s="144">
        <v>10.7</v>
      </c>
      <c r="C5" s="145">
        <v>8.6</v>
      </c>
      <c r="D5" s="145">
        <v>8.1</v>
      </c>
      <c r="E5" s="145">
        <v>8.3</v>
      </c>
      <c r="F5" s="145">
        <v>6.1</v>
      </c>
      <c r="G5" s="145">
        <v>9.1</v>
      </c>
      <c r="H5" s="145">
        <v>6.5</v>
      </c>
      <c r="I5" s="145">
        <v>8.5</v>
      </c>
      <c r="J5" s="145">
        <v>6.7</v>
      </c>
      <c r="K5" s="145">
        <v>5.7</v>
      </c>
      <c r="L5" s="145">
        <v>8.0</v>
      </c>
      <c r="M5" s="145">
        <v>6.7</v>
      </c>
      <c r="N5" s="145">
        <v>4.9</v>
      </c>
      <c r="O5" s="145">
        <v>7.2</v>
      </c>
      <c r="P5" s="145">
        <v>6.4</v>
      </c>
      <c r="Q5" s="145">
        <v>6.8</v>
      </c>
      <c r="R5" s="145">
        <v>5.4</v>
      </c>
      <c r="S5" s="145">
        <v>6.1</v>
      </c>
      <c r="T5" s="145">
        <v>5.9</v>
      </c>
      <c r="U5" s="145">
        <v>4.6</v>
      </c>
      <c r="V5" s="145">
        <v>6.6</v>
      </c>
      <c r="W5" s="145">
        <v>5.1</v>
      </c>
      <c r="X5" s="145">
        <v>9.0</v>
      </c>
      <c r="Y5" s="145">
        <v>6.4</v>
      </c>
      <c r="Z5" s="145">
        <v>7.0</v>
      </c>
      <c r="AA5" s="145">
        <v>8.3</v>
      </c>
      <c r="AB5" s="145">
        <v>7.9</v>
      </c>
      <c r="AC5" s="145">
        <v>7.5</v>
      </c>
      <c r="AD5" s="145">
        <v>8.1</v>
      </c>
      <c r="AE5" s="145">
        <v>6.5</v>
      </c>
      <c r="AF5" s="145">
        <v>6.3</v>
      </c>
      <c r="AG5" s="145">
        <v>7.3</v>
      </c>
      <c r="AH5" s="145">
        <v>9.0</v>
      </c>
      <c r="AI5" s="145">
        <v>7.5</v>
      </c>
      <c r="AJ5" s="145">
        <v>8.0</v>
      </c>
      <c r="AK5" s="145">
        <v>7.5</v>
      </c>
      <c r="AL5" s="145">
        <v>4.7</v>
      </c>
      <c r="AM5" s="145">
        <v>9.2</v>
      </c>
      <c r="AN5" s="145">
        <v>8.6</v>
      </c>
      <c r="AO5" s="145">
        <v>10.9</v>
      </c>
      <c r="AP5" s="145">
        <v>6.8</v>
      </c>
      <c r="AQ5" s="145">
        <v>7.5</v>
      </c>
      <c r="AR5" s="145">
        <v>7.1</v>
      </c>
      <c r="AS5" s="145">
        <v>8.7</v>
      </c>
      <c r="AT5" s="145">
        <v>8.9</v>
      </c>
      <c r="AU5" s="145">
        <v>8.1</v>
      </c>
      <c r="AV5" s="145">
        <v>10.3</v>
      </c>
      <c r="AW5" s="145">
        <v>7.8</v>
      </c>
      <c r="AX5" s="145">
        <v>12.0</v>
      </c>
      <c r="AY5" s="145">
        <v>8.1</v>
      </c>
      <c r="AZ5" s="145">
        <v>10.5</v>
      </c>
      <c r="BA5" s="145">
        <v>8.4</v>
      </c>
      <c r="BB5" s="145">
        <v>8.1</v>
      </c>
      <c r="BC5" s="145">
        <v>9.8</v>
      </c>
      <c r="BD5" s="145">
        <v>7.8</v>
      </c>
      <c r="BE5" s="145">
        <v>7.7</v>
      </c>
      <c r="BF5" s="145">
        <v>6.9</v>
      </c>
      <c r="BG5" s="145">
        <v>12.7</v>
      </c>
      <c r="BH5" s="145">
        <v>9.4</v>
      </c>
      <c r="BI5" s="145">
        <v>9.2</v>
      </c>
      <c r="BJ5" s="145">
        <v>5.4</v>
      </c>
      <c r="BK5" s="139">
        <v>6.4</v>
      </c>
      <c r="BL5" s="139">
        <v>6.4</v>
      </c>
      <c r="BM5" s="139">
        <v>10.0</v>
      </c>
      <c r="BN5" s="146"/>
      <c r="BO5" s="146"/>
      <c r="BP5" s="146"/>
      <c r="BQ5" s="146"/>
      <c r="BR5" s="146"/>
      <c r="BS5" s="146"/>
    </row>
    <row r="6" ht="15.0" customHeight="1">
      <c r="A6" s="143" t="s">
        <v>54</v>
      </c>
      <c r="B6" s="144">
        <v>10.2</v>
      </c>
      <c r="C6" s="145">
        <v>9.7</v>
      </c>
      <c r="D6" s="145">
        <v>12.0</v>
      </c>
      <c r="E6" s="145">
        <v>12.8</v>
      </c>
      <c r="F6" s="145">
        <v>10.2</v>
      </c>
      <c r="G6" s="145">
        <v>12.4</v>
      </c>
      <c r="H6" s="145">
        <v>12.6</v>
      </c>
      <c r="I6" s="145">
        <v>11.2</v>
      </c>
      <c r="J6" s="145">
        <v>14.2</v>
      </c>
      <c r="K6" s="145">
        <v>10.6</v>
      </c>
      <c r="L6" s="145">
        <v>13.7</v>
      </c>
      <c r="M6" s="145">
        <v>11.7</v>
      </c>
      <c r="N6" s="145">
        <v>12.3</v>
      </c>
      <c r="O6" s="145">
        <v>10.9</v>
      </c>
      <c r="P6" s="145">
        <v>12.6</v>
      </c>
      <c r="Q6" s="145">
        <v>12.4</v>
      </c>
      <c r="R6" s="145">
        <v>11.9</v>
      </c>
      <c r="S6" s="145">
        <v>10.8</v>
      </c>
      <c r="T6" s="145">
        <v>13.0</v>
      </c>
      <c r="U6" s="145">
        <v>9.7</v>
      </c>
      <c r="V6" s="145">
        <v>12.9</v>
      </c>
      <c r="W6" s="145">
        <v>12.8</v>
      </c>
      <c r="X6" s="145">
        <v>12.9</v>
      </c>
      <c r="Y6" s="145">
        <v>11.3</v>
      </c>
      <c r="Z6" s="145">
        <v>13.5</v>
      </c>
      <c r="AA6" s="145">
        <v>14.5</v>
      </c>
      <c r="AB6" s="145">
        <v>10.3</v>
      </c>
      <c r="AC6" s="145">
        <v>13.9</v>
      </c>
      <c r="AD6" s="145">
        <v>12.8</v>
      </c>
      <c r="AE6" s="145">
        <v>13.3</v>
      </c>
      <c r="AF6" s="145">
        <v>8.9</v>
      </c>
      <c r="AG6" s="145">
        <v>13.6</v>
      </c>
      <c r="AH6" s="145">
        <v>15.0</v>
      </c>
      <c r="AI6" s="145">
        <v>12.4</v>
      </c>
      <c r="AJ6" s="145">
        <v>12.1</v>
      </c>
      <c r="AK6" s="145">
        <v>12.5</v>
      </c>
      <c r="AL6" s="145">
        <v>13.1</v>
      </c>
      <c r="AM6" s="145">
        <v>13.4</v>
      </c>
      <c r="AN6" s="145">
        <v>13.5</v>
      </c>
      <c r="AO6" s="145">
        <v>14.7</v>
      </c>
      <c r="AP6" s="145">
        <v>14.3</v>
      </c>
      <c r="AQ6" s="145">
        <v>15.4</v>
      </c>
      <c r="AR6" s="145">
        <v>15.0</v>
      </c>
      <c r="AS6" s="145">
        <v>11.3</v>
      </c>
      <c r="AT6" s="145">
        <v>13.0</v>
      </c>
      <c r="AU6" s="145">
        <v>12.7</v>
      </c>
      <c r="AV6" s="145">
        <v>14.4</v>
      </c>
      <c r="AW6" s="145">
        <v>13.6</v>
      </c>
      <c r="AX6" s="145">
        <v>13.3</v>
      </c>
      <c r="AY6" s="145">
        <v>11.5</v>
      </c>
      <c r="AZ6" s="145">
        <v>13.3</v>
      </c>
      <c r="BA6" s="145">
        <v>14.4</v>
      </c>
      <c r="BB6" s="145">
        <v>12.0</v>
      </c>
      <c r="BC6" s="145">
        <v>12.1</v>
      </c>
      <c r="BD6" s="145">
        <v>12.4</v>
      </c>
      <c r="BE6" s="145">
        <v>13.4</v>
      </c>
      <c r="BF6" s="145">
        <v>13.8</v>
      </c>
      <c r="BG6" s="145">
        <v>16.2</v>
      </c>
      <c r="BH6" s="145">
        <v>10.7</v>
      </c>
      <c r="BI6" s="145">
        <v>10.9</v>
      </c>
      <c r="BJ6" s="145">
        <v>10.6</v>
      </c>
      <c r="BK6" s="139">
        <v>14.3</v>
      </c>
      <c r="BL6" s="139">
        <v>12.6</v>
      </c>
      <c r="BM6" s="139">
        <v>14.5</v>
      </c>
      <c r="BN6" s="146"/>
      <c r="BO6" s="146"/>
      <c r="BP6" s="146"/>
      <c r="BQ6" s="146"/>
      <c r="BR6" s="146"/>
      <c r="BS6" s="146"/>
    </row>
    <row r="7" ht="15.0" customHeight="1">
      <c r="A7" s="143" t="s">
        <v>55</v>
      </c>
      <c r="B7" s="144">
        <v>16.2</v>
      </c>
      <c r="C7" s="145">
        <v>13.8</v>
      </c>
      <c r="D7" s="145">
        <v>16.0</v>
      </c>
      <c r="E7" s="145">
        <v>17.5</v>
      </c>
      <c r="F7" s="145">
        <v>15.2</v>
      </c>
      <c r="G7" s="145">
        <v>16.2</v>
      </c>
      <c r="H7" s="145">
        <v>15.0</v>
      </c>
      <c r="I7" s="145">
        <v>16.2</v>
      </c>
      <c r="J7" s="145">
        <v>14.8</v>
      </c>
      <c r="K7" s="145">
        <v>16.3</v>
      </c>
      <c r="L7" s="145">
        <v>13.8</v>
      </c>
      <c r="M7" s="145">
        <v>15.5</v>
      </c>
      <c r="N7" s="145">
        <v>15.3</v>
      </c>
      <c r="O7" s="145">
        <v>13.4</v>
      </c>
      <c r="P7" s="145">
        <v>14.6</v>
      </c>
      <c r="Q7" s="145">
        <v>16.2</v>
      </c>
      <c r="R7" s="145">
        <v>16.0</v>
      </c>
      <c r="S7" s="145">
        <v>14.2</v>
      </c>
      <c r="T7" s="145">
        <v>17.6</v>
      </c>
      <c r="U7" s="145">
        <v>14.4</v>
      </c>
      <c r="V7" s="145">
        <v>16.1</v>
      </c>
      <c r="W7" s="145">
        <v>16.2</v>
      </c>
      <c r="X7" s="145">
        <v>15.9</v>
      </c>
      <c r="Y7" s="145">
        <v>13.8</v>
      </c>
      <c r="Z7" s="145">
        <v>13.0</v>
      </c>
      <c r="AA7" s="145">
        <v>15.4</v>
      </c>
      <c r="AB7" s="145">
        <v>14.6</v>
      </c>
      <c r="AC7" s="145">
        <v>15.0</v>
      </c>
      <c r="AD7" s="145">
        <v>14.4</v>
      </c>
      <c r="AE7" s="145">
        <v>15.4</v>
      </c>
      <c r="AF7" s="145">
        <v>14.3</v>
      </c>
      <c r="AG7" s="145">
        <v>17.1</v>
      </c>
      <c r="AH7" s="145">
        <v>15.4</v>
      </c>
      <c r="AI7" s="145">
        <v>16.3</v>
      </c>
      <c r="AJ7" s="145">
        <v>14.5</v>
      </c>
      <c r="AK7" s="145">
        <v>16.0</v>
      </c>
      <c r="AL7" s="145">
        <v>16.1</v>
      </c>
      <c r="AM7" s="145">
        <v>16.9</v>
      </c>
      <c r="AN7" s="145">
        <v>15.3</v>
      </c>
      <c r="AO7" s="145">
        <v>17.3</v>
      </c>
      <c r="AP7" s="145">
        <v>14.1</v>
      </c>
      <c r="AQ7" s="145">
        <v>17.4</v>
      </c>
      <c r="AR7" s="145">
        <v>19.4</v>
      </c>
      <c r="AS7" s="145">
        <v>15.3</v>
      </c>
      <c r="AT7" s="145">
        <v>16.1</v>
      </c>
      <c r="AU7" s="145">
        <v>16.9</v>
      </c>
      <c r="AV7" s="145">
        <v>18.1</v>
      </c>
      <c r="AW7" s="145">
        <v>17.4</v>
      </c>
      <c r="AX7" s="145">
        <v>14.9</v>
      </c>
      <c r="AY7" s="145">
        <v>16.6</v>
      </c>
      <c r="AZ7" s="145">
        <v>16.9</v>
      </c>
      <c r="BA7" s="145">
        <v>16.9</v>
      </c>
      <c r="BB7" s="145">
        <v>15.8</v>
      </c>
      <c r="BC7" s="145">
        <v>16.0</v>
      </c>
      <c r="BD7" s="145">
        <v>16.1</v>
      </c>
      <c r="BE7" s="145">
        <v>17.2</v>
      </c>
      <c r="BF7" s="145">
        <v>18.2</v>
      </c>
      <c r="BG7" s="145">
        <v>17.5</v>
      </c>
      <c r="BH7" s="145">
        <v>20.7</v>
      </c>
      <c r="BI7" s="145">
        <v>16.4</v>
      </c>
      <c r="BJ7" s="145">
        <v>18.8</v>
      </c>
      <c r="BK7" s="139">
        <v>18.7</v>
      </c>
      <c r="BL7" s="139">
        <v>17.2</v>
      </c>
      <c r="BM7" s="139">
        <v>17.9</v>
      </c>
      <c r="BN7" s="146"/>
      <c r="BO7" s="146"/>
      <c r="BP7" s="146"/>
      <c r="BQ7" s="146"/>
      <c r="BR7" s="146"/>
      <c r="BS7" s="146"/>
    </row>
    <row r="8" ht="15.0" customHeight="1">
      <c r="A8" s="143" t="s">
        <v>56</v>
      </c>
      <c r="B8" s="144">
        <v>15.2</v>
      </c>
      <c r="C8" s="145">
        <v>15.1</v>
      </c>
      <c r="D8" s="145">
        <v>18.0</v>
      </c>
      <c r="E8" s="145">
        <v>17.8</v>
      </c>
      <c r="F8" s="145">
        <v>15.5</v>
      </c>
      <c r="G8" s="145">
        <v>15.9</v>
      </c>
      <c r="H8" s="145">
        <v>18.5</v>
      </c>
      <c r="I8" s="145">
        <v>16.1</v>
      </c>
      <c r="J8" s="145">
        <v>17.9</v>
      </c>
      <c r="K8" s="145">
        <v>16.7</v>
      </c>
      <c r="L8" s="145">
        <v>17.7</v>
      </c>
      <c r="M8" s="145">
        <v>17.8</v>
      </c>
      <c r="N8" s="145">
        <v>16.6</v>
      </c>
      <c r="O8" s="145">
        <v>15.2</v>
      </c>
      <c r="P8" s="145">
        <v>17.6</v>
      </c>
      <c r="Q8" s="145">
        <v>18.4</v>
      </c>
      <c r="R8" s="145">
        <v>16.1</v>
      </c>
      <c r="S8" s="145">
        <v>15.0</v>
      </c>
      <c r="T8" s="145">
        <v>14.6</v>
      </c>
      <c r="U8" s="145">
        <v>14.7</v>
      </c>
      <c r="V8" s="145">
        <v>16.1</v>
      </c>
      <c r="W8" s="145">
        <v>18.2</v>
      </c>
      <c r="X8" s="145">
        <v>20.0</v>
      </c>
      <c r="Y8" s="145">
        <v>15.2</v>
      </c>
      <c r="Z8" s="145">
        <v>17.2</v>
      </c>
      <c r="AA8" s="145">
        <v>16.4</v>
      </c>
      <c r="AB8" s="145">
        <v>17.3</v>
      </c>
      <c r="AC8" s="145">
        <v>17.5</v>
      </c>
      <c r="AD8" s="145">
        <v>17.3</v>
      </c>
      <c r="AE8" s="145">
        <v>16.5</v>
      </c>
      <c r="AF8" s="145">
        <v>18.7</v>
      </c>
      <c r="AG8" s="145">
        <v>18.8</v>
      </c>
      <c r="AH8" s="145">
        <v>16.1</v>
      </c>
      <c r="AI8" s="145">
        <v>21.0</v>
      </c>
      <c r="AJ8" s="145">
        <v>20.0</v>
      </c>
      <c r="AK8" s="145">
        <v>15.6</v>
      </c>
      <c r="AL8" s="145">
        <v>16.5</v>
      </c>
      <c r="AM8" s="145">
        <v>17.1</v>
      </c>
      <c r="AN8" s="145">
        <v>18.6</v>
      </c>
      <c r="AO8" s="145">
        <v>15.4</v>
      </c>
      <c r="AP8" s="145">
        <v>17.9</v>
      </c>
      <c r="AQ8" s="145">
        <v>18.5</v>
      </c>
      <c r="AR8" s="145">
        <v>18.4</v>
      </c>
      <c r="AS8" s="145">
        <v>17.1</v>
      </c>
      <c r="AT8" s="145">
        <v>18.0</v>
      </c>
      <c r="AU8" s="145">
        <v>21.3</v>
      </c>
      <c r="AV8" s="145">
        <v>18.3</v>
      </c>
      <c r="AW8" s="145">
        <v>18.0</v>
      </c>
      <c r="AX8" s="145">
        <v>18.1</v>
      </c>
      <c r="AY8" s="145">
        <v>20.0</v>
      </c>
      <c r="AZ8" s="145">
        <v>16.3</v>
      </c>
      <c r="BA8" s="145">
        <v>18.2</v>
      </c>
      <c r="BB8" s="145">
        <v>19.4</v>
      </c>
      <c r="BC8" s="145">
        <v>19.2</v>
      </c>
      <c r="BD8" s="145">
        <v>20.2</v>
      </c>
      <c r="BE8" s="145">
        <v>18.6</v>
      </c>
      <c r="BF8" s="145">
        <v>18.5</v>
      </c>
      <c r="BG8" s="145">
        <v>19.7</v>
      </c>
      <c r="BH8" s="145">
        <v>18.8</v>
      </c>
      <c r="BI8" s="145">
        <v>17.7</v>
      </c>
      <c r="BJ8" s="145">
        <v>18.8</v>
      </c>
      <c r="BK8" s="139">
        <v>18.6</v>
      </c>
      <c r="BL8" s="139">
        <v>19.6</v>
      </c>
      <c r="BM8" s="139">
        <v>19.8</v>
      </c>
      <c r="BN8" s="146"/>
      <c r="BO8" s="146"/>
      <c r="BP8" s="146"/>
      <c r="BQ8" s="146"/>
      <c r="BR8" s="146"/>
      <c r="BS8" s="146"/>
    </row>
    <row r="9" ht="15.0" customHeight="1">
      <c r="A9" s="143" t="s">
        <v>57</v>
      </c>
      <c r="B9" s="144">
        <v>15.7</v>
      </c>
      <c r="C9" s="145">
        <v>16.7</v>
      </c>
      <c r="D9" s="145">
        <v>16.5</v>
      </c>
      <c r="E9" s="145">
        <v>15.1</v>
      </c>
      <c r="F9" s="145">
        <v>14.7</v>
      </c>
      <c r="G9" s="145">
        <v>15.3</v>
      </c>
      <c r="H9" s="145">
        <v>16.2</v>
      </c>
      <c r="I9" s="145">
        <v>15.7</v>
      </c>
      <c r="J9" s="145">
        <v>15.5</v>
      </c>
      <c r="K9" s="145">
        <v>16.3</v>
      </c>
      <c r="L9" s="145">
        <v>18.4</v>
      </c>
      <c r="M9" s="145">
        <v>15.7</v>
      </c>
      <c r="N9" s="145">
        <v>17.1</v>
      </c>
      <c r="O9" s="145">
        <v>17.7</v>
      </c>
      <c r="P9" s="145">
        <v>17.4</v>
      </c>
      <c r="Q9" s="145">
        <v>14.6</v>
      </c>
      <c r="R9" s="145">
        <v>15.6</v>
      </c>
      <c r="S9" s="145">
        <v>14.5</v>
      </c>
      <c r="T9" s="145">
        <v>15.5</v>
      </c>
      <c r="U9" s="145">
        <v>15.9</v>
      </c>
      <c r="V9" s="145">
        <v>16.3</v>
      </c>
      <c r="W9" s="145">
        <v>17.2</v>
      </c>
      <c r="X9" s="145">
        <v>17.5</v>
      </c>
      <c r="Y9" s="145">
        <v>16.3</v>
      </c>
      <c r="Z9" s="145">
        <v>16.5</v>
      </c>
      <c r="AA9" s="145">
        <v>16.4</v>
      </c>
      <c r="AB9" s="145">
        <v>14.8</v>
      </c>
      <c r="AC9" s="145">
        <v>16.8</v>
      </c>
      <c r="AD9" s="145">
        <v>16.7</v>
      </c>
      <c r="AE9" s="145">
        <v>17.9</v>
      </c>
      <c r="AF9" s="145">
        <v>17.1</v>
      </c>
      <c r="AG9" s="145">
        <v>20.8</v>
      </c>
      <c r="AH9" s="145">
        <v>16.6</v>
      </c>
      <c r="AI9" s="145">
        <v>18.1</v>
      </c>
      <c r="AJ9" s="145">
        <v>17.2</v>
      </c>
      <c r="AK9" s="145">
        <v>16.4</v>
      </c>
      <c r="AL9" s="145">
        <v>18.2</v>
      </c>
      <c r="AM9" s="145">
        <v>17.1</v>
      </c>
      <c r="AN9" s="145">
        <v>16.7</v>
      </c>
      <c r="AO9" s="145">
        <v>18.4</v>
      </c>
      <c r="AP9" s="145">
        <v>18.2</v>
      </c>
      <c r="AQ9" s="145">
        <v>18.5</v>
      </c>
      <c r="AR9" s="145">
        <v>20.1</v>
      </c>
      <c r="AS9" s="145">
        <v>18.1</v>
      </c>
      <c r="AT9" s="145">
        <v>15.8</v>
      </c>
      <c r="AU9" s="145">
        <v>15.1</v>
      </c>
      <c r="AV9" s="145">
        <v>17.7</v>
      </c>
      <c r="AW9" s="145">
        <v>17.5</v>
      </c>
      <c r="AX9" s="145">
        <v>18.4</v>
      </c>
      <c r="AY9" s="145">
        <v>17.0</v>
      </c>
      <c r="AZ9" s="145">
        <v>17.9</v>
      </c>
      <c r="BA9" s="145">
        <v>18.2</v>
      </c>
      <c r="BB9" s="145">
        <v>17.7</v>
      </c>
      <c r="BC9" s="145">
        <v>15.7</v>
      </c>
      <c r="BD9" s="145">
        <v>21.3</v>
      </c>
      <c r="BE9" s="145">
        <v>17.0</v>
      </c>
      <c r="BF9" s="145">
        <v>18.8</v>
      </c>
      <c r="BG9" s="145">
        <v>20.6</v>
      </c>
      <c r="BH9" s="145">
        <v>18.9</v>
      </c>
      <c r="BI9" s="145">
        <v>18.8</v>
      </c>
      <c r="BJ9" s="145">
        <v>16.0</v>
      </c>
      <c r="BK9" s="139">
        <v>19.1</v>
      </c>
      <c r="BL9" s="139">
        <v>18.6</v>
      </c>
      <c r="BM9" s="139">
        <v>20.2</v>
      </c>
      <c r="BN9" s="146"/>
      <c r="BO9" s="146"/>
      <c r="BP9" s="146"/>
      <c r="BQ9" s="146"/>
      <c r="BR9" s="146"/>
      <c r="BS9" s="146"/>
    </row>
    <row r="10" ht="15.0" customHeight="1">
      <c r="A10" s="143" t="s">
        <v>58</v>
      </c>
      <c r="B10" s="144">
        <v>15.0</v>
      </c>
      <c r="C10" s="145">
        <v>11.8</v>
      </c>
      <c r="D10" s="145">
        <v>13.8</v>
      </c>
      <c r="E10" s="145">
        <v>12.6</v>
      </c>
      <c r="F10" s="145">
        <v>12.7</v>
      </c>
      <c r="G10" s="145">
        <v>12.4</v>
      </c>
      <c r="H10" s="145">
        <v>13.8</v>
      </c>
      <c r="I10" s="145">
        <v>12.6</v>
      </c>
      <c r="J10" s="145">
        <v>13.1</v>
      </c>
      <c r="K10" s="145">
        <v>11.9</v>
      </c>
      <c r="L10" s="145">
        <v>10.7</v>
      </c>
      <c r="M10" s="145">
        <v>10.2</v>
      </c>
      <c r="N10" s="145">
        <v>13.7</v>
      </c>
      <c r="O10" s="145">
        <v>12.6</v>
      </c>
      <c r="P10" s="145">
        <v>15.5</v>
      </c>
      <c r="Q10" s="145">
        <v>11.7</v>
      </c>
      <c r="R10" s="145">
        <v>10.7</v>
      </c>
      <c r="S10" s="145">
        <v>11.5</v>
      </c>
      <c r="T10" s="145">
        <v>12.6</v>
      </c>
      <c r="U10" s="145">
        <v>12.2</v>
      </c>
      <c r="V10" s="145">
        <v>13.3</v>
      </c>
      <c r="W10" s="145">
        <v>15.4</v>
      </c>
      <c r="X10" s="145">
        <v>13.1</v>
      </c>
      <c r="Y10" s="145">
        <v>11.8</v>
      </c>
      <c r="Z10" s="145">
        <v>12.6</v>
      </c>
      <c r="AA10" s="145">
        <v>11.3</v>
      </c>
      <c r="AB10" s="145">
        <v>14.4</v>
      </c>
      <c r="AC10" s="145">
        <v>12.8</v>
      </c>
      <c r="AD10" s="145">
        <v>13.7</v>
      </c>
      <c r="AE10" s="145">
        <v>10.8</v>
      </c>
      <c r="AF10" s="145">
        <v>13.9</v>
      </c>
      <c r="AG10" s="145">
        <v>13.1</v>
      </c>
      <c r="AH10" s="145">
        <v>12.0</v>
      </c>
      <c r="AI10" s="145">
        <v>13.7</v>
      </c>
      <c r="AJ10" s="145">
        <v>11.9</v>
      </c>
      <c r="AK10" s="145">
        <v>9.7</v>
      </c>
      <c r="AL10" s="145">
        <v>12.7</v>
      </c>
      <c r="AM10" s="145">
        <v>12.4</v>
      </c>
      <c r="AN10" s="145">
        <v>16.0</v>
      </c>
      <c r="AO10" s="145">
        <v>12.6</v>
      </c>
      <c r="AP10" s="145">
        <v>11.1</v>
      </c>
      <c r="AQ10" s="145">
        <v>11.8</v>
      </c>
      <c r="AR10" s="145">
        <v>13.2</v>
      </c>
      <c r="AS10" s="145">
        <v>12.8</v>
      </c>
      <c r="AT10" s="145">
        <v>14.1</v>
      </c>
      <c r="AU10" s="145">
        <v>15.5</v>
      </c>
      <c r="AV10" s="145">
        <v>11.3</v>
      </c>
      <c r="AW10" s="145">
        <v>12.0</v>
      </c>
      <c r="AX10" s="145">
        <v>14.7</v>
      </c>
      <c r="AY10" s="145">
        <v>11.3</v>
      </c>
      <c r="AZ10" s="145">
        <v>14.6</v>
      </c>
      <c r="BA10" s="145">
        <v>13.2</v>
      </c>
      <c r="BB10" s="145">
        <v>11.8</v>
      </c>
      <c r="BC10" s="145">
        <v>14.0</v>
      </c>
      <c r="BD10" s="145">
        <v>13.1</v>
      </c>
      <c r="BE10" s="145">
        <v>15.8</v>
      </c>
      <c r="BF10" s="145">
        <v>11.8</v>
      </c>
      <c r="BG10" s="145">
        <v>14.5</v>
      </c>
      <c r="BH10" s="145">
        <v>13.3</v>
      </c>
      <c r="BI10" s="145">
        <v>14.0</v>
      </c>
      <c r="BJ10" s="145">
        <v>14.2</v>
      </c>
      <c r="BK10" s="139">
        <v>12.0</v>
      </c>
      <c r="BL10" s="139">
        <v>16.5</v>
      </c>
      <c r="BM10" s="139">
        <v>15.0</v>
      </c>
      <c r="BN10" s="146"/>
      <c r="BO10" s="146"/>
      <c r="BP10" s="146"/>
      <c r="BQ10" s="146"/>
      <c r="BR10" s="146"/>
      <c r="BS10" s="146"/>
    </row>
    <row r="11" ht="15.0" customHeight="1">
      <c r="A11" s="143" t="s">
        <v>59</v>
      </c>
      <c r="B11" s="144">
        <v>9.4</v>
      </c>
      <c r="C11" s="145">
        <v>7.5</v>
      </c>
      <c r="D11" s="145">
        <v>7.4</v>
      </c>
      <c r="E11" s="145">
        <v>6.7</v>
      </c>
      <c r="F11" s="145">
        <v>6.5</v>
      </c>
      <c r="G11" s="145">
        <v>11.3</v>
      </c>
      <c r="H11" s="145">
        <v>10.3</v>
      </c>
      <c r="I11" s="145">
        <v>8.4</v>
      </c>
      <c r="J11" s="145">
        <v>8.8</v>
      </c>
      <c r="K11" s="145">
        <v>7.4</v>
      </c>
      <c r="L11" s="145">
        <v>7.1</v>
      </c>
      <c r="M11" s="145">
        <v>5.3</v>
      </c>
      <c r="N11" s="145">
        <v>6.0</v>
      </c>
      <c r="O11" s="145">
        <v>4.4</v>
      </c>
      <c r="P11" s="145">
        <v>7.1</v>
      </c>
      <c r="Q11" s="145">
        <v>9.0</v>
      </c>
      <c r="R11" s="145">
        <v>8.8</v>
      </c>
      <c r="S11" s="145">
        <v>8.1</v>
      </c>
      <c r="T11" s="145">
        <v>6.6</v>
      </c>
      <c r="U11" s="145">
        <v>7.0</v>
      </c>
      <c r="V11" s="145">
        <v>8.0</v>
      </c>
      <c r="W11" s="145">
        <v>8.8</v>
      </c>
      <c r="X11" s="145">
        <v>8.0</v>
      </c>
      <c r="Y11" s="145">
        <v>9.1</v>
      </c>
      <c r="Z11" s="145">
        <v>7.4</v>
      </c>
      <c r="AA11" s="145">
        <v>8.1</v>
      </c>
      <c r="AB11" s="145">
        <v>8.5</v>
      </c>
      <c r="AC11" s="145">
        <v>8.5</v>
      </c>
      <c r="AD11" s="145">
        <v>9.0</v>
      </c>
      <c r="AE11" s="145">
        <v>8.5</v>
      </c>
      <c r="AF11" s="145">
        <v>6.8</v>
      </c>
      <c r="AG11" s="145">
        <v>6.2</v>
      </c>
      <c r="AH11" s="145">
        <v>7.7</v>
      </c>
      <c r="AI11" s="145">
        <v>6.1</v>
      </c>
      <c r="AJ11" s="145">
        <v>9.9</v>
      </c>
      <c r="AK11" s="145">
        <v>8.8</v>
      </c>
      <c r="AL11" s="145">
        <v>5.7</v>
      </c>
      <c r="AM11" s="145">
        <v>8.1</v>
      </c>
      <c r="AN11" s="145">
        <v>8.0</v>
      </c>
      <c r="AO11" s="145">
        <v>10.8</v>
      </c>
      <c r="AP11" s="145">
        <v>11.3</v>
      </c>
      <c r="AQ11" s="145">
        <v>6.8</v>
      </c>
      <c r="AR11" s="145">
        <v>4.9</v>
      </c>
      <c r="AS11" s="145">
        <v>9.2</v>
      </c>
      <c r="AT11" s="145">
        <v>9.1</v>
      </c>
      <c r="AU11" s="145">
        <v>10.1</v>
      </c>
      <c r="AV11" s="145">
        <v>7.2</v>
      </c>
      <c r="AW11" s="145">
        <v>8.3</v>
      </c>
      <c r="AX11" s="145">
        <v>7.2</v>
      </c>
      <c r="AY11" s="145">
        <v>6.1</v>
      </c>
      <c r="AZ11" s="145">
        <v>7.8</v>
      </c>
      <c r="BA11" s="145">
        <v>7.4</v>
      </c>
      <c r="BB11" s="145">
        <v>9.0</v>
      </c>
      <c r="BC11" s="145">
        <v>10.0</v>
      </c>
      <c r="BD11" s="145">
        <v>7.8</v>
      </c>
      <c r="BE11" s="145">
        <v>7.4</v>
      </c>
      <c r="BF11" s="145">
        <v>9.5</v>
      </c>
      <c r="BG11" s="145">
        <v>10.0</v>
      </c>
      <c r="BH11" s="145">
        <v>9.5</v>
      </c>
      <c r="BI11" s="145">
        <v>9.0</v>
      </c>
      <c r="BJ11" s="145">
        <v>8.0</v>
      </c>
      <c r="BK11" s="139">
        <v>10.7</v>
      </c>
      <c r="BL11" s="139">
        <v>11.1</v>
      </c>
      <c r="BM11" s="139">
        <v>9.8</v>
      </c>
      <c r="BN11" s="146"/>
      <c r="BO11" s="146"/>
      <c r="BP11" s="146"/>
      <c r="BQ11" s="146"/>
      <c r="BR11" s="146"/>
      <c r="BS11" s="146"/>
    </row>
    <row r="12" ht="15.0" customHeight="1">
      <c r="A12" s="143" t="s">
        <v>60</v>
      </c>
      <c r="B12" s="144">
        <v>2.7</v>
      </c>
      <c r="C12" s="145">
        <v>2.4</v>
      </c>
      <c r="D12" s="145">
        <v>6.4</v>
      </c>
      <c r="E12" s="145">
        <v>3.7</v>
      </c>
      <c r="F12" s="145">
        <v>-0.3</v>
      </c>
      <c r="G12" s="145">
        <v>1.8</v>
      </c>
      <c r="H12" s="145">
        <v>2.6</v>
      </c>
      <c r="I12" s="145">
        <v>3.4</v>
      </c>
      <c r="J12" s="145">
        <v>4.2</v>
      </c>
      <c r="K12" s="145">
        <v>4.7</v>
      </c>
      <c r="L12" s="145">
        <v>2.1</v>
      </c>
      <c r="M12" s="145">
        <v>3.2</v>
      </c>
      <c r="N12" s="145">
        <v>1.1</v>
      </c>
      <c r="O12" s="145">
        <v>2.8</v>
      </c>
      <c r="P12" s="145">
        <v>1.3</v>
      </c>
      <c r="Q12" s="145">
        <v>4.1</v>
      </c>
      <c r="R12" s="145">
        <v>3.8</v>
      </c>
      <c r="S12" s="145">
        <v>1.9</v>
      </c>
      <c r="T12" s="145">
        <v>2.5</v>
      </c>
      <c r="U12" s="145">
        <v>1.3</v>
      </c>
      <c r="V12" s="145">
        <v>3.0</v>
      </c>
      <c r="W12" s="145">
        <v>3.8</v>
      </c>
      <c r="X12" s="145">
        <v>1.1</v>
      </c>
      <c r="Y12" s="145">
        <v>3.6</v>
      </c>
      <c r="Z12" s="145">
        <v>-0.2</v>
      </c>
      <c r="AA12" s="145">
        <v>3.7</v>
      </c>
      <c r="AB12" s="145">
        <v>3.6</v>
      </c>
      <c r="AC12" s="145">
        <v>-0.4</v>
      </c>
      <c r="AD12" s="145">
        <v>0.8</v>
      </c>
      <c r="AE12" s="145">
        <v>3.5</v>
      </c>
      <c r="AF12" s="145">
        <v>2.5</v>
      </c>
      <c r="AG12" s="145">
        <v>3.3</v>
      </c>
      <c r="AH12" s="145">
        <v>-0.3</v>
      </c>
      <c r="AI12" s="145">
        <v>5.0</v>
      </c>
      <c r="AJ12" s="145">
        <v>0.3</v>
      </c>
      <c r="AK12" s="145">
        <v>4.3</v>
      </c>
      <c r="AL12" s="145">
        <v>2.7</v>
      </c>
      <c r="AM12" s="145">
        <v>0.1</v>
      </c>
      <c r="AN12" s="145">
        <v>1.6</v>
      </c>
      <c r="AO12" s="145">
        <v>5.4</v>
      </c>
      <c r="AP12" s="145">
        <v>1.5</v>
      </c>
      <c r="AQ12" s="145">
        <v>4.7</v>
      </c>
      <c r="AR12" s="145">
        <v>4.6</v>
      </c>
      <c r="AS12" s="145">
        <v>3.2</v>
      </c>
      <c r="AT12" s="145">
        <v>2.0</v>
      </c>
      <c r="AU12" s="145">
        <v>5.6</v>
      </c>
      <c r="AV12" s="145">
        <v>1.4</v>
      </c>
      <c r="AW12" s="145">
        <v>4.6</v>
      </c>
      <c r="AX12" s="145">
        <v>5.5</v>
      </c>
      <c r="AY12" s="145">
        <v>5.0</v>
      </c>
      <c r="AZ12" s="145">
        <v>2.5</v>
      </c>
      <c r="BA12" s="145">
        <v>4.8</v>
      </c>
      <c r="BB12" s="145">
        <v>4.1</v>
      </c>
      <c r="BC12" s="145">
        <v>6.0</v>
      </c>
      <c r="BD12" s="145">
        <v>5.7</v>
      </c>
      <c r="BE12" s="145">
        <v>2.7</v>
      </c>
      <c r="BF12" s="145">
        <v>3.7</v>
      </c>
      <c r="BG12" s="145">
        <v>4.3</v>
      </c>
      <c r="BH12" s="145">
        <v>5.6</v>
      </c>
      <c r="BI12" s="145">
        <v>3.9</v>
      </c>
      <c r="BJ12" s="145">
        <v>3.6</v>
      </c>
      <c r="BK12" s="139">
        <v>4.1</v>
      </c>
      <c r="BL12" s="139">
        <v>4.1</v>
      </c>
      <c r="BM12" s="139">
        <v>2.8</v>
      </c>
      <c r="BN12" s="146"/>
      <c r="BO12" s="146"/>
      <c r="BP12" s="146"/>
      <c r="BQ12" s="146"/>
      <c r="BR12" s="146"/>
      <c r="BS12" s="146"/>
    </row>
    <row r="13" ht="15.0" customHeight="1">
      <c r="A13" s="143" t="s">
        <v>61</v>
      </c>
      <c r="B13" s="144">
        <v>-3.2</v>
      </c>
      <c r="C13" s="145">
        <v>-5.5</v>
      </c>
      <c r="D13" s="145">
        <v>-5.6</v>
      </c>
      <c r="E13" s="145">
        <v>-1.7</v>
      </c>
      <c r="F13" s="145">
        <v>0.7</v>
      </c>
      <c r="G13" s="145">
        <v>-0.1</v>
      </c>
      <c r="H13" s="145">
        <v>-1.5</v>
      </c>
      <c r="I13" s="145">
        <v>-3.7</v>
      </c>
      <c r="J13" s="145">
        <v>-6.3</v>
      </c>
      <c r="K13" s="145">
        <v>-1.1</v>
      </c>
      <c r="L13" s="145">
        <v>2.1</v>
      </c>
      <c r="M13" s="145">
        <v>-1.3</v>
      </c>
      <c r="N13" s="145">
        <v>-1.5</v>
      </c>
      <c r="O13" s="145">
        <v>2.6</v>
      </c>
      <c r="P13" s="145">
        <v>-0.6</v>
      </c>
      <c r="Q13" s="145">
        <v>-2.4</v>
      </c>
      <c r="R13" s="145">
        <v>-1.2</v>
      </c>
      <c r="S13" s="145">
        <v>-0.8</v>
      </c>
      <c r="T13" s="145">
        <v>2.6</v>
      </c>
      <c r="U13" s="145">
        <v>-1.3</v>
      </c>
      <c r="V13" s="145">
        <v>-3.3</v>
      </c>
      <c r="W13" s="145">
        <v>0.7</v>
      </c>
      <c r="X13" s="145">
        <v>-1.5</v>
      </c>
      <c r="Y13" s="145">
        <v>-1.2</v>
      </c>
      <c r="Z13" s="145">
        <v>2.0</v>
      </c>
      <c r="AA13" s="145">
        <v>-0.8</v>
      </c>
      <c r="AB13" s="145">
        <v>0.3</v>
      </c>
      <c r="AC13" s="145">
        <v>0.8</v>
      </c>
      <c r="AD13" s="145">
        <v>0.1</v>
      </c>
      <c r="AE13" s="145">
        <v>-1.3</v>
      </c>
      <c r="AF13" s="145">
        <v>-2.3</v>
      </c>
      <c r="AG13" s="145">
        <v>-1.5</v>
      </c>
      <c r="AH13" s="145">
        <v>1.5</v>
      </c>
      <c r="AI13" s="145">
        <v>0.9</v>
      </c>
      <c r="AJ13" s="145">
        <v>-2.7</v>
      </c>
      <c r="AK13" s="145">
        <v>-5.1</v>
      </c>
      <c r="AL13" s="145">
        <v>0.7</v>
      </c>
      <c r="AM13" s="145">
        <v>-1.9</v>
      </c>
      <c r="AN13" s="145">
        <v>-0.4</v>
      </c>
      <c r="AO13" s="145">
        <v>0.6</v>
      </c>
      <c r="AP13" s="145">
        <v>-3.6</v>
      </c>
      <c r="AQ13" s="145">
        <v>-2.8</v>
      </c>
      <c r="AR13" s="145">
        <v>-0.6</v>
      </c>
      <c r="AS13" s="145">
        <v>-0.7</v>
      </c>
      <c r="AT13" s="145">
        <v>-1.3</v>
      </c>
      <c r="AU13" s="145">
        <v>2.3</v>
      </c>
      <c r="AV13" s="145">
        <v>-0.9</v>
      </c>
      <c r="AW13" s="145">
        <v>0.7</v>
      </c>
      <c r="AX13" s="145">
        <v>-1.0</v>
      </c>
      <c r="AY13" s="145">
        <v>-4.9</v>
      </c>
      <c r="AZ13" s="145">
        <v>1.9</v>
      </c>
      <c r="BA13" s="145">
        <v>-1.4</v>
      </c>
      <c r="BB13" s="145">
        <v>1.2</v>
      </c>
      <c r="BC13" s="145">
        <v>1.6</v>
      </c>
      <c r="BD13" s="145">
        <v>3.7</v>
      </c>
      <c r="BE13" s="145">
        <v>-0.5</v>
      </c>
      <c r="BF13" s="145">
        <v>0.8</v>
      </c>
      <c r="BG13" s="145">
        <v>1.2</v>
      </c>
      <c r="BH13" s="145">
        <v>1.9</v>
      </c>
      <c r="BI13" s="145">
        <v>1.7</v>
      </c>
      <c r="BJ13" s="145">
        <v>0.4</v>
      </c>
      <c r="BK13" s="139">
        <v>0.3</v>
      </c>
      <c r="BL13" s="139">
        <v>2.4000000000000057</v>
      </c>
      <c r="BM13" s="139">
        <v>0.9</v>
      </c>
      <c r="BN13" s="146"/>
      <c r="BO13" s="146"/>
      <c r="BP13" s="146"/>
      <c r="BQ13" s="146"/>
      <c r="BR13" s="146"/>
      <c r="BS13" s="146"/>
    </row>
    <row r="14" ht="15.0" customHeight="1">
      <c r="A14" s="143" t="s">
        <v>62</v>
      </c>
      <c r="B14" s="144">
        <v>7.9</v>
      </c>
      <c r="C14" s="145">
        <v>6.3</v>
      </c>
      <c r="D14" s="145">
        <v>6.5</v>
      </c>
      <c r="E14" s="145">
        <v>6.9</v>
      </c>
      <c r="F14" s="145">
        <v>6.4</v>
      </c>
      <c r="G14" s="145">
        <v>7.9</v>
      </c>
      <c r="H14" s="145">
        <v>8.0</v>
      </c>
      <c r="I14" s="145">
        <v>7.3</v>
      </c>
      <c r="J14" s="145">
        <v>6.9</v>
      </c>
      <c r="K14" s="145">
        <v>6.9</v>
      </c>
      <c r="L14" s="145">
        <v>7.5</v>
      </c>
      <c r="M14" s="145">
        <v>7.2</v>
      </c>
      <c r="N14" s="145">
        <v>7.2</v>
      </c>
      <c r="O14" s="145">
        <v>7.9</v>
      </c>
      <c r="P14" s="145">
        <v>8.0</v>
      </c>
      <c r="Q14" s="145">
        <v>7.3</v>
      </c>
      <c r="R14" s="145">
        <v>7.6</v>
      </c>
      <c r="S14" s="145">
        <v>6.8</v>
      </c>
      <c r="T14" s="145">
        <v>7.2</v>
      </c>
      <c r="U14" s="145">
        <v>6.3</v>
      </c>
      <c r="V14" s="145">
        <v>7.4</v>
      </c>
      <c r="W14" s="145">
        <v>7.8</v>
      </c>
      <c r="X14" s="145">
        <v>8.2</v>
      </c>
      <c r="Y14" s="145">
        <v>7.0</v>
      </c>
      <c r="Z14" s="145">
        <v>6.5</v>
      </c>
      <c r="AA14" s="145">
        <v>7.2</v>
      </c>
      <c r="AB14" s="145">
        <v>6.6</v>
      </c>
      <c r="AC14" s="145">
        <v>7.9</v>
      </c>
      <c r="AD14" s="145">
        <v>8.4</v>
      </c>
      <c r="AE14" s="145">
        <v>8.4</v>
      </c>
      <c r="AF14" s="145">
        <v>7.2</v>
      </c>
      <c r="AG14" s="145">
        <v>8.6</v>
      </c>
      <c r="AH14" s="145">
        <v>7.6</v>
      </c>
      <c r="AI14" s="145">
        <v>8.9</v>
      </c>
      <c r="AJ14" s="145">
        <v>7.9</v>
      </c>
      <c r="AK14" s="145">
        <v>6.3</v>
      </c>
      <c r="AL14" s="145">
        <v>7.6</v>
      </c>
      <c r="AM14" s="145">
        <v>8.2</v>
      </c>
      <c r="AN14" s="145">
        <v>8.4</v>
      </c>
      <c r="AO14" s="145">
        <v>9.1</v>
      </c>
      <c r="AP14" s="145">
        <v>7.8</v>
      </c>
      <c r="AQ14" s="145">
        <v>8.7</v>
      </c>
      <c r="AR14" s="145">
        <v>8.2</v>
      </c>
      <c r="AS14" s="145">
        <v>7.8</v>
      </c>
      <c r="AT14" s="145">
        <v>7.7</v>
      </c>
      <c r="AU14" s="145">
        <v>8.2</v>
      </c>
      <c r="AV14" s="145">
        <v>9.1</v>
      </c>
      <c r="AW14" s="145">
        <v>8.9</v>
      </c>
      <c r="AX14" s="145">
        <v>8.4</v>
      </c>
      <c r="AY14" s="145">
        <v>7.2</v>
      </c>
      <c r="AZ14" s="145">
        <v>8.5</v>
      </c>
      <c r="BA14" s="145">
        <v>8.3</v>
      </c>
      <c r="BB14" s="145">
        <v>7.9</v>
      </c>
      <c r="BC14" s="145">
        <v>9.4</v>
      </c>
      <c r="BD14" s="145">
        <v>9.4</v>
      </c>
      <c r="BE14" s="145">
        <v>8.7</v>
      </c>
      <c r="BF14" s="145">
        <v>8.6</v>
      </c>
      <c r="BG14" s="145">
        <v>9.6</v>
      </c>
      <c r="BH14" s="145">
        <v>9.5</v>
      </c>
      <c r="BI14" s="145">
        <v>9.1</v>
      </c>
      <c r="BJ14" s="145">
        <v>8.0</v>
      </c>
      <c r="BK14" s="147">
        <v>9.2</v>
      </c>
      <c r="BL14" s="139">
        <v>9.7</v>
      </c>
      <c r="BM14" s="145">
        <v>10.3</v>
      </c>
      <c r="BN14" s="146"/>
      <c r="BO14" s="146"/>
      <c r="BP14" s="146"/>
      <c r="BQ14" s="146"/>
      <c r="BR14" s="146"/>
      <c r="BS14" s="14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45.13"/>
    <col customWidth="1" min="3" max="10" width="15.13"/>
    <col customWidth="1" min="11" max="33" width="15.25"/>
  </cols>
  <sheetData>
    <row r="1">
      <c r="A1" s="1"/>
      <c r="B1" s="2" t="s">
        <v>0</v>
      </c>
      <c r="C1" s="1"/>
      <c r="D1" s="1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4"/>
      <c r="B2" s="5" t="s">
        <v>1</v>
      </c>
      <c r="C2" s="5" t="s">
        <v>2</v>
      </c>
      <c r="D2" s="5" t="s">
        <v>3</v>
      </c>
      <c r="E2" s="6" t="s">
        <v>4</v>
      </c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4"/>
      <c r="B3" s="7" t="s">
        <v>5</v>
      </c>
      <c r="C3" s="8">
        <v>45662.0</v>
      </c>
      <c r="D3" s="9" t="s">
        <v>6</v>
      </c>
      <c r="E3" s="10" t="s">
        <v>7</v>
      </c>
      <c r="F3" s="1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11"/>
      <c r="B4" s="11" t="str">
        <f>IF(ISERR(FIND("neaktuální", C2)), "", "Toto je neaktuální verze datasetu. Aktuální verzi naleznete na stránce výše.")</f>
        <v/>
      </c>
      <c r="C4" s="11"/>
      <c r="D4" s="11"/>
      <c r="E4" s="12"/>
      <c r="F4" s="12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>
      <c r="A5" s="11"/>
      <c r="B5" s="13" t="s">
        <v>8</v>
      </c>
      <c r="C5" s="11"/>
      <c r="D5" s="11"/>
      <c r="E5" s="12"/>
      <c r="F5" s="12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>
      <c r="A6" s="11"/>
      <c r="B6" s="14">
        <v>45662.0</v>
      </c>
      <c r="C6" s="15" t="s">
        <v>9</v>
      </c>
      <c r="D6" s="11"/>
      <c r="E6" s="12"/>
      <c r="F6" s="12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>
      <c r="A7" s="11"/>
      <c r="B7" s="14">
        <v>45295.0</v>
      </c>
      <c r="C7" s="15" t="s">
        <v>10</v>
      </c>
      <c r="D7" s="11"/>
      <c r="E7" s="12"/>
      <c r="F7" s="12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>
      <c r="A8" s="11"/>
      <c r="B8" s="14">
        <v>45162.0</v>
      </c>
      <c r="C8" s="15" t="s">
        <v>11</v>
      </c>
      <c r="D8" s="11"/>
      <c r="E8" s="12"/>
      <c r="F8" s="12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>
      <c r="A9" s="11"/>
      <c r="B9" s="14">
        <v>43904.0</v>
      </c>
      <c r="C9" s="15" t="s">
        <v>12</v>
      </c>
      <c r="D9" s="11"/>
      <c r="E9" s="12"/>
      <c r="F9" s="12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>
      <c r="A10" s="11"/>
      <c r="B10" s="14">
        <v>44572.0</v>
      </c>
      <c r="C10" s="15" t="s">
        <v>13</v>
      </c>
      <c r="D10" s="11"/>
      <c r="E10" s="12"/>
      <c r="F10" s="12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>
      <c r="A11" s="11"/>
      <c r="B11" s="14">
        <v>44254.0</v>
      </c>
      <c r="C11" s="15" t="s">
        <v>14</v>
      </c>
      <c r="D11" s="11"/>
      <c r="E11" s="12"/>
      <c r="F11" s="12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>
      <c r="A12" s="11"/>
      <c r="B12" s="14">
        <v>43866.0</v>
      </c>
      <c r="C12" s="11" t="s">
        <v>15</v>
      </c>
      <c r="D12" s="11"/>
      <c r="E12" s="12"/>
      <c r="F12" s="12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>
      <c r="A13" s="11"/>
      <c r="B13" s="16"/>
      <c r="C13" s="11"/>
      <c r="D13" s="11"/>
      <c r="E13" s="12"/>
      <c r="F13" s="12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>
      <c r="A14" s="17" t="s">
        <v>16</v>
      </c>
      <c r="B14" s="18" t="s">
        <v>17</v>
      </c>
      <c r="C14" s="19"/>
      <c r="D14" s="19"/>
      <c r="E14" s="20"/>
      <c r="F14" s="20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>
      <c r="A15" s="21"/>
      <c r="B15" s="22" t="s">
        <v>18</v>
      </c>
      <c r="C15" s="23" t="s">
        <v>19</v>
      </c>
      <c r="D15" s="22" t="s">
        <v>20</v>
      </c>
      <c r="E15" s="24" t="s">
        <v>21</v>
      </c>
      <c r="F15" s="25" t="s">
        <v>22</v>
      </c>
      <c r="I15" s="24" t="s">
        <v>23</v>
      </c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>
      <c r="A16" s="26"/>
      <c r="B16" s="26"/>
      <c r="C16" s="26"/>
      <c r="D16" s="26"/>
      <c r="E16" s="27"/>
      <c r="F16" s="27"/>
      <c r="G16" s="27"/>
      <c r="H16" s="27"/>
      <c r="I16" s="27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</row>
    <row r="17">
      <c r="A17" s="28">
        <v>1.0</v>
      </c>
      <c r="B17" s="29" t="s">
        <v>24</v>
      </c>
      <c r="C17" s="30"/>
      <c r="D17" s="30"/>
      <c r="E17" s="31"/>
      <c r="F17" s="32"/>
      <c r="G17" s="32"/>
      <c r="H17" s="32"/>
      <c r="I17" s="32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</row>
    <row r="18">
      <c r="A18" s="26"/>
      <c r="B18" s="33" t="s">
        <v>24</v>
      </c>
      <c r="C18" s="34" t="s">
        <v>25</v>
      </c>
      <c r="D18" s="35" t="s">
        <v>26</v>
      </c>
      <c r="E18" s="36">
        <v>45662.0</v>
      </c>
      <c r="F18" s="37" t="s">
        <v>27</v>
      </c>
      <c r="I18" s="38" t="s">
        <v>28</v>
      </c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</row>
    <row r="19">
      <c r="A19" s="26"/>
      <c r="B19" s="26"/>
      <c r="C19" s="26"/>
      <c r="D19" s="26"/>
      <c r="E19" s="40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</row>
    <row r="20">
      <c r="A20" s="41" t="s">
        <v>29</v>
      </c>
      <c r="B20" s="42" t="s">
        <v>30</v>
      </c>
      <c r="C20" s="43"/>
      <c r="D20" s="43"/>
      <c r="E20" s="44"/>
      <c r="F20" s="44"/>
      <c r="G20" s="44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</row>
    <row r="21">
      <c r="A21" s="26"/>
      <c r="B21" s="26"/>
      <c r="C21" s="26"/>
      <c r="D21" s="26"/>
      <c r="E21" s="26"/>
      <c r="F21" s="26"/>
      <c r="G21" s="45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</row>
    <row r="22">
      <c r="A22" s="46">
        <v>3.0</v>
      </c>
      <c r="B22" s="29" t="s">
        <v>31</v>
      </c>
      <c r="C22" s="47"/>
      <c r="D22" s="48"/>
      <c r="E22" s="49"/>
      <c r="F22" s="49"/>
      <c r="G22" s="48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</row>
    <row r="23">
      <c r="A23" s="26"/>
      <c r="B23" s="34" t="s">
        <v>32</v>
      </c>
      <c r="C23" s="50"/>
      <c r="D23" s="51">
        <f t="array" ref="D23:D24">TRANSPOSE(LINEST(C29:C93))</f>
        <v>0.03631993007</v>
      </c>
      <c r="E23" s="34"/>
      <c r="F23" s="52" t="s">
        <v>33</v>
      </c>
      <c r="G23" s="45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</row>
    <row r="24">
      <c r="A24" s="26"/>
      <c r="B24" s="34" t="s">
        <v>34</v>
      </c>
      <c r="C24" s="26"/>
      <c r="D24" s="53">
        <v>6.742980769230767</v>
      </c>
      <c r="E24" s="26"/>
      <c r="F24" s="52" t="s">
        <v>33</v>
      </c>
      <c r="G24" s="45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</row>
    <row r="25">
      <c r="A25" s="26"/>
      <c r="B25" s="26"/>
      <c r="C25" s="26"/>
      <c r="D25" s="26"/>
      <c r="E25" s="26"/>
      <c r="F25" s="26"/>
      <c r="G25" s="45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</row>
    <row r="26">
      <c r="A26" s="46">
        <v>4.0</v>
      </c>
      <c r="B26" s="29" t="s">
        <v>35</v>
      </c>
      <c r="C26" s="47"/>
      <c r="D26" s="48"/>
      <c r="E26" s="49"/>
      <c r="F26" s="49"/>
      <c r="G26" s="48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</row>
    <row r="27">
      <c r="A27" s="50"/>
      <c r="B27" s="54"/>
      <c r="C27" s="55"/>
      <c r="D27" s="50"/>
      <c r="E27" s="54"/>
      <c r="F27" s="56"/>
      <c r="G27" s="57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</row>
    <row r="28">
      <c r="A28" s="58"/>
      <c r="B28" s="59" t="s">
        <v>36</v>
      </c>
      <c r="C28" s="60" t="s">
        <v>37</v>
      </c>
      <c r="D28" s="61" t="s">
        <v>38</v>
      </c>
      <c r="E28" s="62" t="s">
        <v>31</v>
      </c>
      <c r="F28" s="63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</row>
    <row r="29">
      <c r="A29" s="50"/>
      <c r="B29" s="64">
        <f>'Vstup Měsíční teploty ČR'!$A4</f>
        <v>1961</v>
      </c>
      <c r="C29" s="65">
        <f>'Vstup Měsíční teploty ČR'!$N4</f>
        <v>7.9</v>
      </c>
      <c r="D29" s="66" t="s">
        <v>39</v>
      </c>
      <c r="E29" s="67">
        <f t="shared" ref="E29:E93" si="1">$D$24+$D$23*($B29-1961)</f>
        <v>6.742980769</v>
      </c>
      <c r="F29" s="57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</row>
    <row r="30">
      <c r="A30" s="50"/>
      <c r="B30" s="64">
        <f>'Vstup Měsíční teploty ČR'!A5</f>
        <v>1962</v>
      </c>
      <c r="C30" s="65">
        <f>'Vstup Měsíční teploty ČR'!$N5</f>
        <v>6.3</v>
      </c>
      <c r="D30" s="66" t="s">
        <v>39</v>
      </c>
      <c r="E30" s="67">
        <f t="shared" si="1"/>
        <v>6.779300699</v>
      </c>
      <c r="F30" s="57"/>
      <c r="G30" s="50"/>
      <c r="H30" s="50"/>
      <c r="I30" s="50"/>
      <c r="J30" s="50"/>
      <c r="K30" s="50"/>
      <c r="L30" s="68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</row>
    <row r="31">
      <c r="A31" s="50"/>
      <c r="B31" s="64">
        <f>'Vstup Měsíční teploty ČR'!A6</f>
        <v>1963</v>
      </c>
      <c r="C31" s="65">
        <f>'Vstup Měsíční teploty ČR'!$N6</f>
        <v>6.5</v>
      </c>
      <c r="D31" s="69">
        <f t="shared" ref="D31:D91" si="2">AVERAGE(C29:C33)</f>
        <v>6.8</v>
      </c>
      <c r="E31" s="67">
        <f t="shared" si="1"/>
        <v>6.815620629</v>
      </c>
      <c r="F31" s="50"/>
      <c r="G31" s="50"/>
      <c r="H31" s="50"/>
      <c r="I31" s="50"/>
      <c r="J31" s="50"/>
      <c r="K31" s="50"/>
      <c r="L31" s="68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</row>
    <row r="32">
      <c r="A32" s="50"/>
      <c r="B32" s="64">
        <f>'Vstup Měsíční teploty ČR'!A7</f>
        <v>1964</v>
      </c>
      <c r="C32" s="65">
        <f>'Vstup Měsíční teploty ČR'!$N7</f>
        <v>6.9</v>
      </c>
      <c r="D32" s="69">
        <f t="shared" si="2"/>
        <v>6.8</v>
      </c>
      <c r="E32" s="67">
        <f t="shared" si="1"/>
        <v>6.851940559</v>
      </c>
      <c r="F32" s="57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</row>
    <row r="33">
      <c r="A33" s="50"/>
      <c r="B33" s="64">
        <f>'Vstup Měsíční teploty ČR'!A8</f>
        <v>1965</v>
      </c>
      <c r="C33" s="65">
        <f>'Vstup Měsíční teploty ČR'!$N8</f>
        <v>6.4</v>
      </c>
      <c r="D33" s="69">
        <f t="shared" si="2"/>
        <v>7.14</v>
      </c>
      <c r="E33" s="67">
        <f t="shared" si="1"/>
        <v>6.88826049</v>
      </c>
      <c r="F33" s="57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</row>
    <row r="34">
      <c r="A34" s="50"/>
      <c r="B34" s="64">
        <f>'Vstup Měsíční teploty ČR'!A9</f>
        <v>1966</v>
      </c>
      <c r="C34" s="65">
        <f>'Vstup Měsíční teploty ČR'!$N9</f>
        <v>7.9</v>
      </c>
      <c r="D34" s="69">
        <f t="shared" si="2"/>
        <v>7.3</v>
      </c>
      <c r="E34" s="67">
        <f t="shared" si="1"/>
        <v>6.92458042</v>
      </c>
      <c r="F34" s="57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</row>
    <row r="35">
      <c r="A35" s="50"/>
      <c r="B35" s="64">
        <f>'Vstup Měsíční teploty ČR'!A10</f>
        <v>1967</v>
      </c>
      <c r="C35" s="65">
        <f>'Vstup Měsíční teploty ČR'!$N10</f>
        <v>8</v>
      </c>
      <c r="D35" s="69">
        <f t="shared" si="2"/>
        <v>7.3</v>
      </c>
      <c r="E35" s="67">
        <f t="shared" si="1"/>
        <v>6.96090035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</row>
    <row r="36">
      <c r="A36" s="50"/>
      <c r="B36" s="64">
        <f>'Vstup Měsíční teploty ČR'!A11</f>
        <v>1968</v>
      </c>
      <c r="C36" s="65">
        <f>'Vstup Měsíční teploty ČR'!$N11</f>
        <v>7.3</v>
      </c>
      <c r="D36" s="69">
        <f t="shared" si="2"/>
        <v>7.4</v>
      </c>
      <c r="E36" s="67">
        <f t="shared" si="1"/>
        <v>6.99722028</v>
      </c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</row>
    <row r="37">
      <c r="A37" s="50"/>
      <c r="B37" s="64">
        <f>'Vstup Měsíční teploty ČR'!A12</f>
        <v>1969</v>
      </c>
      <c r="C37" s="65">
        <f>'Vstup Měsíční teploty ČR'!$N12</f>
        <v>6.9</v>
      </c>
      <c r="D37" s="69">
        <f t="shared" si="2"/>
        <v>7.32</v>
      </c>
      <c r="E37" s="67">
        <f t="shared" si="1"/>
        <v>7.03354021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</row>
    <row r="38">
      <c r="A38" s="50"/>
      <c r="B38" s="64">
        <f>'Vstup Měsíční teploty ČR'!A13</f>
        <v>1970</v>
      </c>
      <c r="C38" s="65">
        <f>'Vstup Měsíční teploty ČR'!$N13</f>
        <v>6.9</v>
      </c>
      <c r="D38" s="69">
        <f t="shared" si="2"/>
        <v>7.16</v>
      </c>
      <c r="E38" s="67">
        <f t="shared" si="1"/>
        <v>7.06986014</v>
      </c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</row>
    <row r="39">
      <c r="A39" s="50"/>
      <c r="B39" s="64">
        <f>'Vstup Měsíční teploty ČR'!A14</f>
        <v>1971</v>
      </c>
      <c r="C39" s="65">
        <f>'Vstup Měsíční teploty ČR'!$N14</f>
        <v>7.5</v>
      </c>
      <c r="D39" s="69">
        <f t="shared" si="2"/>
        <v>7.14</v>
      </c>
      <c r="E39" s="67">
        <f t="shared" si="1"/>
        <v>7.10618007</v>
      </c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</row>
    <row r="40">
      <c r="A40" s="50"/>
      <c r="B40" s="64">
        <f>'Vstup Měsíční teploty ČR'!A15</f>
        <v>1972</v>
      </c>
      <c r="C40" s="65">
        <f>'Vstup Měsíční teploty ČR'!$N15</f>
        <v>7.2</v>
      </c>
      <c r="D40" s="69">
        <f t="shared" si="2"/>
        <v>7.34</v>
      </c>
      <c r="E40" s="67">
        <f t="shared" si="1"/>
        <v>7.1425</v>
      </c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</row>
    <row r="41">
      <c r="A41" s="50"/>
      <c r="B41" s="64">
        <f>'Vstup Měsíční teploty ČR'!A16</f>
        <v>1973</v>
      </c>
      <c r="C41" s="65">
        <f>'Vstup Měsíční teploty ČR'!$N16</f>
        <v>7.2</v>
      </c>
      <c r="D41" s="69">
        <f t="shared" si="2"/>
        <v>7.56</v>
      </c>
      <c r="E41" s="67">
        <f t="shared" si="1"/>
        <v>7.17881993</v>
      </c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</row>
    <row r="42">
      <c r="A42" s="50"/>
      <c r="B42" s="64">
        <f>'Vstup Měsíční teploty ČR'!A17</f>
        <v>1974</v>
      </c>
      <c r="C42" s="65">
        <f>'Vstup Měsíční teploty ČR'!$N17</f>
        <v>7.9</v>
      </c>
      <c r="D42" s="69">
        <f t="shared" si="2"/>
        <v>7.52</v>
      </c>
      <c r="E42" s="67">
        <f t="shared" si="1"/>
        <v>7.21513986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</row>
    <row r="43">
      <c r="A43" s="50"/>
      <c r="B43" s="64">
        <f>'Vstup Měsíční teploty ČR'!A18</f>
        <v>1975</v>
      </c>
      <c r="C43" s="65">
        <f>'Vstup Měsíční teploty ČR'!$N18</f>
        <v>8</v>
      </c>
      <c r="D43" s="69">
        <f t="shared" si="2"/>
        <v>7.6</v>
      </c>
      <c r="E43" s="67">
        <f t="shared" si="1"/>
        <v>7.25145979</v>
      </c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</row>
    <row r="44">
      <c r="A44" s="50"/>
      <c r="B44" s="64">
        <f>'Vstup Měsíční teploty ČR'!A19</f>
        <v>1976</v>
      </c>
      <c r="C44" s="65">
        <f>'Vstup Měsíční teploty ČR'!$N19</f>
        <v>7.3</v>
      </c>
      <c r="D44" s="69">
        <f t="shared" si="2"/>
        <v>7.52</v>
      </c>
      <c r="E44" s="67">
        <f t="shared" si="1"/>
        <v>7.28777972</v>
      </c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</row>
    <row r="45">
      <c r="A45" s="50"/>
      <c r="B45" s="64">
        <f>'Vstup Měsíční teploty ČR'!A20</f>
        <v>1977</v>
      </c>
      <c r="C45" s="65">
        <f>'Vstup Měsíční teploty ČR'!$N20</f>
        <v>7.6</v>
      </c>
      <c r="D45" s="69">
        <f t="shared" si="2"/>
        <v>7.38</v>
      </c>
      <c r="E45" s="67">
        <f t="shared" si="1"/>
        <v>7.32409965</v>
      </c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</row>
    <row r="46">
      <c r="A46" s="50"/>
      <c r="B46" s="64">
        <f>'Vstup Měsíční teploty ČR'!A21</f>
        <v>1978</v>
      </c>
      <c r="C46" s="65">
        <f>'Vstup Měsíční teploty ČR'!$N21</f>
        <v>6.8</v>
      </c>
      <c r="D46" s="69">
        <f t="shared" si="2"/>
        <v>7.04</v>
      </c>
      <c r="E46" s="67">
        <f t="shared" si="1"/>
        <v>7.36041958</v>
      </c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</row>
    <row r="47">
      <c r="A47" s="50"/>
      <c r="B47" s="64">
        <f>'Vstup Měsíční teploty ČR'!A22</f>
        <v>1979</v>
      </c>
      <c r="C47" s="65">
        <f>'Vstup Měsíční teploty ČR'!$N22</f>
        <v>7.2</v>
      </c>
      <c r="D47" s="69">
        <f t="shared" si="2"/>
        <v>7.06</v>
      </c>
      <c r="E47" s="67">
        <f t="shared" si="1"/>
        <v>7.39673951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</row>
    <row r="48">
      <c r="A48" s="50"/>
      <c r="B48" s="64">
        <f>'Vstup Měsíční teploty ČR'!A23</f>
        <v>1980</v>
      </c>
      <c r="C48" s="65">
        <f>'Vstup Měsíční teploty ČR'!$N23</f>
        <v>6.3</v>
      </c>
      <c r="D48" s="69">
        <f t="shared" si="2"/>
        <v>7.1</v>
      </c>
      <c r="E48" s="67">
        <f t="shared" si="1"/>
        <v>7.433059441</v>
      </c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</row>
    <row r="49">
      <c r="A49" s="50"/>
      <c r="B49" s="64">
        <f>'Vstup Měsíční teploty ČR'!A24</f>
        <v>1981</v>
      </c>
      <c r="C49" s="65">
        <f>'Vstup Měsíční teploty ČR'!$N24</f>
        <v>7.4</v>
      </c>
      <c r="D49" s="69">
        <f t="shared" si="2"/>
        <v>7.38</v>
      </c>
      <c r="E49" s="67">
        <f t="shared" si="1"/>
        <v>7.469379371</v>
      </c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</row>
    <row r="50">
      <c r="A50" s="50"/>
      <c r="B50" s="64">
        <f>'Vstup Měsíční teploty ČR'!A25</f>
        <v>1982</v>
      </c>
      <c r="C50" s="65">
        <f>'Vstup Měsíční teploty ČR'!$N25</f>
        <v>7.8</v>
      </c>
      <c r="D50" s="69">
        <f t="shared" si="2"/>
        <v>7.34</v>
      </c>
      <c r="E50" s="67">
        <f t="shared" si="1"/>
        <v>7.505699301</v>
      </c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</row>
    <row r="51">
      <c r="A51" s="50"/>
      <c r="B51" s="64">
        <f>'Vstup Měsíční teploty ČR'!A26</f>
        <v>1983</v>
      </c>
      <c r="C51" s="65">
        <f>'Vstup Měsíční teploty ČR'!$N26</f>
        <v>8.2</v>
      </c>
      <c r="D51" s="69">
        <f t="shared" si="2"/>
        <v>7.38</v>
      </c>
      <c r="E51" s="67">
        <f t="shared" si="1"/>
        <v>7.542019231</v>
      </c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</row>
    <row r="52">
      <c r="A52" s="50"/>
      <c r="B52" s="64">
        <f>'Vstup Měsíční teploty ČR'!A27</f>
        <v>1984</v>
      </c>
      <c r="C52" s="65">
        <f>'Vstup Měsíční teploty ČR'!$N27</f>
        <v>7</v>
      </c>
      <c r="D52" s="69">
        <f t="shared" si="2"/>
        <v>7.34</v>
      </c>
      <c r="E52" s="67">
        <f t="shared" si="1"/>
        <v>7.578339161</v>
      </c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</row>
    <row r="53">
      <c r="A53" s="50"/>
      <c r="B53" s="64">
        <f>'Vstup Měsíční teploty ČR'!A28</f>
        <v>1985</v>
      </c>
      <c r="C53" s="65">
        <f>'Vstup Měsíční teploty ČR'!$N28</f>
        <v>6.5</v>
      </c>
      <c r="D53" s="69">
        <f t="shared" si="2"/>
        <v>7.1</v>
      </c>
      <c r="E53" s="67">
        <f t="shared" si="1"/>
        <v>7.614659091</v>
      </c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</row>
    <row r="54">
      <c r="A54" s="50"/>
      <c r="B54" s="64">
        <f>'Vstup Měsíční teploty ČR'!A29</f>
        <v>1986</v>
      </c>
      <c r="C54" s="65">
        <f>'Vstup Měsíční teploty ČR'!$N29</f>
        <v>7.2</v>
      </c>
      <c r="D54" s="69">
        <f t="shared" si="2"/>
        <v>7.04</v>
      </c>
      <c r="E54" s="67">
        <f t="shared" si="1"/>
        <v>7.650979021</v>
      </c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</row>
    <row r="55">
      <c r="A55" s="50"/>
      <c r="B55" s="64">
        <f>'Vstup Měsíční teploty ČR'!A30</f>
        <v>1987</v>
      </c>
      <c r="C55" s="65">
        <f>'Vstup Měsíční teploty ČR'!$N30</f>
        <v>6.6</v>
      </c>
      <c r="D55" s="69">
        <f t="shared" si="2"/>
        <v>7.32</v>
      </c>
      <c r="E55" s="67">
        <f t="shared" si="1"/>
        <v>7.687298951</v>
      </c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</row>
    <row r="56">
      <c r="A56" s="50"/>
      <c r="B56" s="64">
        <f>'Vstup Měsíční teploty ČR'!A31</f>
        <v>1988</v>
      </c>
      <c r="C56" s="65">
        <f>'Vstup Měsíční teploty ČR'!$N31</f>
        <v>7.9</v>
      </c>
      <c r="D56" s="69">
        <f t="shared" si="2"/>
        <v>7.7</v>
      </c>
      <c r="E56" s="67">
        <f t="shared" si="1"/>
        <v>7.723618881</v>
      </c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</row>
    <row r="57">
      <c r="A57" s="50"/>
      <c r="B57" s="64">
        <f>'Vstup Měsíční teploty ČR'!A32</f>
        <v>1989</v>
      </c>
      <c r="C57" s="65">
        <f>'Vstup Měsíční teploty ČR'!$N32</f>
        <v>8.4</v>
      </c>
      <c r="D57" s="69">
        <f t="shared" si="2"/>
        <v>7.7</v>
      </c>
      <c r="E57" s="67">
        <f t="shared" si="1"/>
        <v>7.759938811</v>
      </c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</row>
    <row r="58">
      <c r="A58" s="50"/>
      <c r="B58" s="64">
        <f>'Vstup Měsíční teploty ČR'!A33</f>
        <v>1990</v>
      </c>
      <c r="C58" s="65">
        <f>'Vstup Měsíční teploty ČR'!$N33</f>
        <v>8.4</v>
      </c>
      <c r="D58" s="69">
        <f t="shared" si="2"/>
        <v>8.1</v>
      </c>
      <c r="E58" s="67">
        <f t="shared" si="1"/>
        <v>7.796258741</v>
      </c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</row>
    <row r="59">
      <c r="A59" s="50"/>
      <c r="B59" s="64">
        <f>'Vstup Měsíční teploty ČR'!A34</f>
        <v>1991</v>
      </c>
      <c r="C59" s="65">
        <f>'Vstup Měsíční teploty ČR'!$N34</f>
        <v>7.2</v>
      </c>
      <c r="D59" s="69">
        <f t="shared" si="2"/>
        <v>8.04</v>
      </c>
      <c r="E59" s="67">
        <f t="shared" si="1"/>
        <v>7.832578671</v>
      </c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</row>
    <row r="60">
      <c r="A60" s="50"/>
      <c r="B60" s="64">
        <f>'Vstup Měsíční teploty ČR'!A35</f>
        <v>1992</v>
      </c>
      <c r="C60" s="65">
        <f>'Vstup Měsíční teploty ČR'!$N35</f>
        <v>8.6</v>
      </c>
      <c r="D60" s="69">
        <f t="shared" si="2"/>
        <v>8.14</v>
      </c>
      <c r="E60" s="67">
        <f t="shared" si="1"/>
        <v>7.868898601</v>
      </c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</row>
    <row r="61">
      <c r="A61" s="50"/>
      <c r="B61" s="64">
        <f>'Vstup Měsíční teploty ČR'!A36</f>
        <v>1993</v>
      </c>
      <c r="C61" s="65">
        <f>'Vstup Měsíční teploty ČR'!$N36</f>
        <v>7.6</v>
      </c>
      <c r="D61" s="69">
        <f t="shared" si="2"/>
        <v>8.04</v>
      </c>
      <c r="E61" s="67">
        <f t="shared" si="1"/>
        <v>7.905218531</v>
      </c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</row>
    <row r="62">
      <c r="A62" s="50"/>
      <c r="B62" s="64">
        <f>'Vstup Měsíční teploty ČR'!A37</f>
        <v>1994</v>
      </c>
      <c r="C62" s="65">
        <f>'Vstup Měsíční teploty ČR'!$N37</f>
        <v>8.9</v>
      </c>
      <c r="D62" s="69">
        <f t="shared" si="2"/>
        <v>7.86</v>
      </c>
      <c r="E62" s="67">
        <f t="shared" si="1"/>
        <v>7.941538462</v>
      </c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</row>
    <row r="63">
      <c r="A63" s="50"/>
      <c r="B63" s="64">
        <f>'Vstup Měsíční teploty ČR'!A38</f>
        <v>1995</v>
      </c>
      <c r="C63" s="65">
        <f>'Vstup Měsíční teploty ČR'!$N38</f>
        <v>7.9</v>
      </c>
      <c r="D63" s="69">
        <f t="shared" si="2"/>
        <v>7.66</v>
      </c>
      <c r="E63" s="67">
        <f t="shared" si="1"/>
        <v>7.977858392</v>
      </c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</row>
    <row r="64">
      <c r="A64" s="50"/>
      <c r="B64" s="64">
        <f>'Vstup Měsíční teploty ČR'!A39</f>
        <v>1996</v>
      </c>
      <c r="C64" s="65">
        <f>'Vstup Měsíční teploty ČR'!$N39</f>
        <v>6.3</v>
      </c>
      <c r="D64" s="69">
        <f t="shared" si="2"/>
        <v>7.78</v>
      </c>
      <c r="E64" s="67">
        <f t="shared" si="1"/>
        <v>8.014178322</v>
      </c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</row>
    <row r="65">
      <c r="A65" s="50"/>
      <c r="B65" s="64">
        <f>'Vstup Měsíční teploty ČR'!A40</f>
        <v>1997</v>
      </c>
      <c r="C65" s="65">
        <f>'Vstup Měsíční teploty ČR'!$N40</f>
        <v>7.6</v>
      </c>
      <c r="D65" s="69">
        <f t="shared" si="2"/>
        <v>7.68</v>
      </c>
      <c r="E65" s="67">
        <f t="shared" si="1"/>
        <v>8.050498252</v>
      </c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</row>
    <row r="66">
      <c r="A66" s="50"/>
      <c r="B66" s="64">
        <f>'Vstup Měsíční teploty ČR'!A41</f>
        <v>1998</v>
      </c>
      <c r="C66" s="65">
        <f>'Vstup Měsíční teploty ČR'!$N41</f>
        <v>8.2</v>
      </c>
      <c r="D66" s="69">
        <f t="shared" si="2"/>
        <v>7.92</v>
      </c>
      <c r="E66" s="67">
        <f t="shared" si="1"/>
        <v>8.086818182</v>
      </c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</row>
    <row r="67">
      <c r="A67" s="50"/>
      <c r="B67" s="64">
        <f>'Vstup Měsíční teploty ČR'!A42</f>
        <v>1999</v>
      </c>
      <c r="C67" s="65">
        <f>'Vstup Měsíční teploty ČR'!$N42</f>
        <v>8.4</v>
      </c>
      <c r="D67" s="69">
        <f t="shared" si="2"/>
        <v>8.22</v>
      </c>
      <c r="E67" s="67">
        <f t="shared" si="1"/>
        <v>8.123138112</v>
      </c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</row>
    <row r="68">
      <c r="A68" s="50"/>
      <c r="B68" s="64">
        <f>'Vstup Měsíční teploty ČR'!A43</f>
        <v>2000</v>
      </c>
      <c r="C68" s="65">
        <f>'Vstup Měsíční teploty ČR'!$N43</f>
        <v>9.1</v>
      </c>
      <c r="D68" s="69">
        <f t="shared" si="2"/>
        <v>8.44</v>
      </c>
      <c r="E68" s="67">
        <f t="shared" si="1"/>
        <v>8.159458042</v>
      </c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</row>
    <row r="69">
      <c r="A69" s="50"/>
      <c r="B69" s="64">
        <f>'Vstup Měsíční teploty ČR'!A44</f>
        <v>2001</v>
      </c>
      <c r="C69" s="65">
        <f>'Vstup Měsíční teploty ČR'!$N44</f>
        <v>7.8</v>
      </c>
      <c r="D69" s="69">
        <f t="shared" si="2"/>
        <v>8.44</v>
      </c>
      <c r="E69" s="67">
        <f t="shared" si="1"/>
        <v>8.195777972</v>
      </c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</row>
    <row r="70">
      <c r="A70" s="50"/>
      <c r="B70" s="64">
        <f>'Vstup Měsíční teploty ČR'!A45</f>
        <v>2002</v>
      </c>
      <c r="C70" s="65">
        <f>'Vstup Měsíční teploty ČR'!$N45</f>
        <v>8.7</v>
      </c>
      <c r="D70" s="69">
        <f t="shared" si="2"/>
        <v>8.32</v>
      </c>
      <c r="E70" s="67">
        <f t="shared" si="1"/>
        <v>8.232097902</v>
      </c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</row>
    <row r="71">
      <c r="A71" s="50"/>
      <c r="B71" s="64">
        <f>'Vstup Měsíční teploty ČR'!A46</f>
        <v>2003</v>
      </c>
      <c r="C71" s="65">
        <f>'Vstup Měsíční teploty ČR'!$N46</f>
        <v>8.2</v>
      </c>
      <c r="D71" s="69">
        <f t="shared" si="2"/>
        <v>8.04</v>
      </c>
      <c r="E71" s="67">
        <f t="shared" si="1"/>
        <v>8.268417832</v>
      </c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</row>
    <row r="72">
      <c r="A72" s="50"/>
      <c r="B72" s="64">
        <f>'Vstup Měsíční teploty ČR'!A47</f>
        <v>2004</v>
      </c>
      <c r="C72" s="65">
        <f>'Vstup Měsíční teploty ČR'!$N47</f>
        <v>7.8</v>
      </c>
      <c r="D72" s="69">
        <f t="shared" si="2"/>
        <v>8.12</v>
      </c>
      <c r="E72" s="67">
        <f t="shared" si="1"/>
        <v>8.304737762</v>
      </c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</row>
    <row r="73">
      <c r="A73" s="50"/>
      <c r="B73" s="64">
        <f>'Vstup Měsíční teploty ČR'!A48</f>
        <v>2005</v>
      </c>
      <c r="C73" s="65">
        <f>'Vstup Měsíční teploty ČR'!$N48</f>
        <v>7.7</v>
      </c>
      <c r="D73" s="69">
        <f t="shared" si="2"/>
        <v>8.2</v>
      </c>
      <c r="E73" s="67">
        <f t="shared" si="1"/>
        <v>8.341057692</v>
      </c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</row>
    <row r="74">
      <c r="A74" s="50"/>
      <c r="B74" s="64">
        <f>'Vstup Měsíční teploty ČR'!A49</f>
        <v>2006</v>
      </c>
      <c r="C74" s="65">
        <f>'Vstup Měsíční teploty ČR'!$N49</f>
        <v>8.2</v>
      </c>
      <c r="D74" s="69">
        <f t="shared" si="2"/>
        <v>8.34</v>
      </c>
      <c r="E74" s="67">
        <f t="shared" si="1"/>
        <v>8.377377622</v>
      </c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</row>
    <row r="75">
      <c r="A75" s="50"/>
      <c r="B75" s="64">
        <f>'Vstup Měsíční teploty ČR'!A50</f>
        <v>2007</v>
      </c>
      <c r="C75" s="65">
        <f>'Vstup Měsíční teploty ČR'!$N50</f>
        <v>9.1</v>
      </c>
      <c r="D75" s="69">
        <f t="shared" si="2"/>
        <v>8.46</v>
      </c>
      <c r="E75" s="67">
        <f t="shared" si="1"/>
        <v>8.413697552</v>
      </c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</row>
    <row r="76">
      <c r="A76" s="50"/>
      <c r="B76" s="64">
        <f>'Vstup Měsíční teploty ČR'!A51</f>
        <v>2008</v>
      </c>
      <c r="C76" s="65">
        <f>'Vstup Měsíční teploty ČR'!$N51</f>
        <v>8.9</v>
      </c>
      <c r="D76" s="69">
        <f t="shared" si="2"/>
        <v>8.36</v>
      </c>
      <c r="E76" s="67">
        <f t="shared" si="1"/>
        <v>8.450017483</v>
      </c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</row>
    <row r="77">
      <c r="A77" s="50"/>
      <c r="B77" s="64">
        <f>'Vstup Měsíční teploty ČR'!A52</f>
        <v>2009</v>
      </c>
      <c r="C77" s="65">
        <f>'Vstup Měsíční teploty ČR'!$N52</f>
        <v>8.4</v>
      </c>
      <c r="D77" s="69">
        <f t="shared" si="2"/>
        <v>8.42</v>
      </c>
      <c r="E77" s="67">
        <f t="shared" si="1"/>
        <v>8.486337413</v>
      </c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</row>
    <row r="78">
      <c r="A78" s="50"/>
      <c r="B78" s="64">
        <f>'Vstup Měsíční teploty ČR'!A53</f>
        <v>2010</v>
      </c>
      <c r="C78" s="65">
        <f>'Vstup Měsíční teploty ČR'!$N53</f>
        <v>7.2</v>
      </c>
      <c r="D78" s="69">
        <f t="shared" si="2"/>
        <v>8.26</v>
      </c>
      <c r="E78" s="67">
        <f t="shared" si="1"/>
        <v>8.522657343</v>
      </c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</row>
    <row r="79">
      <c r="A79" s="50"/>
      <c r="B79" s="64">
        <f>'Vstup Měsíční teploty ČR'!A54</f>
        <v>2011</v>
      </c>
      <c r="C79" s="65">
        <f>'Vstup Měsíční teploty ČR'!$N54</f>
        <v>8.5</v>
      </c>
      <c r="D79" s="69">
        <f t="shared" si="2"/>
        <v>8.06</v>
      </c>
      <c r="E79" s="67">
        <f t="shared" si="1"/>
        <v>8.558977273</v>
      </c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</row>
    <row r="80">
      <c r="A80" s="50"/>
      <c r="B80" s="64">
        <f>'Vstup Měsíční teploty ČR'!A55</f>
        <v>2012</v>
      </c>
      <c r="C80" s="65">
        <f>'Vstup Měsíční teploty ČR'!$N55</f>
        <v>8.3</v>
      </c>
      <c r="D80" s="69">
        <f t="shared" si="2"/>
        <v>8.26</v>
      </c>
      <c r="E80" s="67">
        <f t="shared" si="1"/>
        <v>8.595297203</v>
      </c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</row>
    <row r="81">
      <c r="A81" s="50"/>
      <c r="B81" s="64">
        <f>'Vstup Měsíční teploty ČR'!A56</f>
        <v>2013</v>
      </c>
      <c r="C81" s="65">
        <f>'Vstup Měsíční teploty ČR'!$N56</f>
        <v>7.9</v>
      </c>
      <c r="D81" s="69">
        <f t="shared" si="2"/>
        <v>8.7</v>
      </c>
      <c r="E81" s="67">
        <f t="shared" si="1"/>
        <v>8.631617133</v>
      </c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</row>
    <row r="82">
      <c r="A82" s="50"/>
      <c r="B82" s="64">
        <f>'Vstup Měsíční teploty ČR'!A57</f>
        <v>2014</v>
      </c>
      <c r="C82" s="65">
        <f>'Vstup Měsíční teploty ČR'!$N57</f>
        <v>9.4</v>
      </c>
      <c r="D82" s="69">
        <f t="shared" si="2"/>
        <v>8.74</v>
      </c>
      <c r="E82" s="67">
        <f t="shared" si="1"/>
        <v>8.667937063</v>
      </c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</row>
    <row r="83">
      <c r="A83" s="50"/>
      <c r="B83" s="64">
        <f>'Vstup Měsíční teploty ČR'!A58</f>
        <v>2015</v>
      </c>
      <c r="C83" s="65">
        <f>'Vstup Měsíční teploty ČR'!$N58</f>
        <v>9.4</v>
      </c>
      <c r="D83" s="69">
        <f t="shared" si="2"/>
        <v>8.8</v>
      </c>
      <c r="E83" s="67">
        <f t="shared" si="1"/>
        <v>8.704256993</v>
      </c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</row>
    <row r="84">
      <c r="A84" s="50"/>
      <c r="B84" s="64">
        <f>'Vstup Měsíční teploty ČR'!A59</f>
        <v>2016</v>
      </c>
      <c r="C84" s="65">
        <f>'Vstup Měsíční teploty ČR'!$N59</f>
        <v>8.7</v>
      </c>
      <c r="D84" s="69">
        <f t="shared" si="2"/>
        <v>9.14</v>
      </c>
      <c r="E84" s="67">
        <f t="shared" si="1"/>
        <v>8.740576923</v>
      </c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</row>
    <row r="85">
      <c r="A85" s="50"/>
      <c r="B85" s="64">
        <f>'Vstup Měsíční teploty ČR'!A60</f>
        <v>2017</v>
      </c>
      <c r="C85" s="65">
        <f>'Vstup Měsíční teploty ČR'!$N60</f>
        <v>8.6</v>
      </c>
      <c r="D85" s="69">
        <f t="shared" si="2"/>
        <v>9.16</v>
      </c>
      <c r="E85" s="67">
        <f t="shared" si="1"/>
        <v>8.776896853</v>
      </c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</row>
    <row r="86">
      <c r="A86" s="50"/>
      <c r="B86" s="64">
        <f>'Vstup Měsíční teploty ČR'!A61</f>
        <v>2018</v>
      </c>
      <c r="C86" s="65">
        <f>'Vstup Měsíční teploty ČR'!$N61</f>
        <v>9.6</v>
      </c>
      <c r="D86" s="69">
        <f t="shared" si="2"/>
        <v>9.1</v>
      </c>
      <c r="E86" s="67">
        <f t="shared" si="1"/>
        <v>8.813216783</v>
      </c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</row>
    <row r="87">
      <c r="A87" s="50"/>
      <c r="B87" s="64">
        <f>'Vstup Měsíční teploty ČR'!A62</f>
        <v>2019</v>
      </c>
      <c r="C87" s="70">
        <f>'Vstup Měsíční teploty ČR'!$N62</f>
        <v>9.5</v>
      </c>
      <c r="D87" s="69">
        <f t="shared" si="2"/>
        <v>8.96</v>
      </c>
      <c r="E87" s="67">
        <f t="shared" si="1"/>
        <v>8.849536713</v>
      </c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</row>
    <row r="88">
      <c r="A88" s="50"/>
      <c r="B88" s="71">
        <v>2020.0</v>
      </c>
      <c r="C88" s="70">
        <f>'Vstup Měsíční teploty ČR'!$N63</f>
        <v>9.1</v>
      </c>
      <c r="D88" s="69">
        <f t="shared" si="2"/>
        <v>9.08</v>
      </c>
      <c r="E88" s="67">
        <f t="shared" si="1"/>
        <v>8.885856643</v>
      </c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</row>
    <row r="89">
      <c r="A89" s="50"/>
      <c r="B89" s="72">
        <v>2021.0</v>
      </c>
      <c r="C89" s="73">
        <f>'Vstup Měsíční teploty ČR'!$N64</f>
        <v>8</v>
      </c>
      <c r="D89" s="69">
        <f t="shared" si="2"/>
        <v>9.1</v>
      </c>
      <c r="E89" s="74">
        <f t="shared" si="1"/>
        <v>8.922176573</v>
      </c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</row>
    <row r="90">
      <c r="A90" s="50"/>
      <c r="B90" s="75">
        <v>2022.0</v>
      </c>
      <c r="C90" s="76">
        <f>'Vstup Měsíční teploty ČR'!$N65</f>
        <v>9.2</v>
      </c>
      <c r="D90" s="69">
        <f t="shared" si="2"/>
        <v>9.26</v>
      </c>
      <c r="E90" s="77">
        <f t="shared" si="1"/>
        <v>8.958496503</v>
      </c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</row>
    <row r="91">
      <c r="A91" s="50"/>
      <c r="B91" s="75">
        <v>2023.0</v>
      </c>
      <c r="C91" s="70">
        <f>'Vstup Měsíční teploty ČR'!$N66</f>
        <v>9.7</v>
      </c>
      <c r="D91" s="69">
        <f t="shared" si="2"/>
        <v>9.2</v>
      </c>
      <c r="E91" s="67">
        <f t="shared" si="1"/>
        <v>8.994816434</v>
      </c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</row>
    <row r="92">
      <c r="A92" s="50"/>
      <c r="B92" s="72">
        <v>2024.0</v>
      </c>
      <c r="C92" s="148">
        <v>10.3</v>
      </c>
      <c r="D92" s="149" t="s">
        <v>39</v>
      </c>
      <c r="E92" s="67">
        <f t="shared" si="1"/>
        <v>9.031136364</v>
      </c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</row>
    <row r="93">
      <c r="A93" s="50"/>
      <c r="B93" s="78">
        <v>2025.0</v>
      </c>
      <c r="C93" s="150">
        <v>8.8</v>
      </c>
      <c r="D93" s="80" t="s">
        <v>39</v>
      </c>
      <c r="E93" s="81">
        <f t="shared" si="1"/>
        <v>9.067456294</v>
      </c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</row>
    <row r="94">
      <c r="A94" s="50"/>
      <c r="B94" s="151"/>
      <c r="C94" s="152"/>
      <c r="D94" s="153"/>
      <c r="E94" s="154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</row>
    <row r="96">
      <c r="A96" s="46">
        <v>4.0</v>
      </c>
      <c r="B96" s="29" t="s">
        <v>40</v>
      </c>
      <c r="C96" s="47"/>
      <c r="D96" s="48"/>
      <c r="E96" s="49"/>
      <c r="F96" s="49"/>
      <c r="G96" s="48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</row>
    <row r="97">
      <c r="A97" s="50"/>
      <c r="B97" s="68" t="s">
        <v>41</v>
      </c>
      <c r="C97" s="50"/>
      <c r="D97" s="82" t="s">
        <v>26</v>
      </c>
      <c r="E97" s="50"/>
      <c r="F97" s="52" t="s">
        <v>42</v>
      </c>
      <c r="G97" s="50"/>
      <c r="H97" s="50"/>
    </row>
    <row r="98">
      <c r="A98" s="50"/>
      <c r="B98" s="50"/>
      <c r="C98" s="50"/>
      <c r="D98" s="50"/>
      <c r="E98" s="50"/>
      <c r="F98" s="50"/>
      <c r="G98" s="50"/>
      <c r="H98" s="50"/>
    </row>
    <row r="99">
      <c r="A99" s="50"/>
      <c r="B99" s="83" t="s">
        <v>43</v>
      </c>
      <c r="C99" s="84" t="s">
        <v>44</v>
      </c>
      <c r="D99" s="84" t="s">
        <v>45</v>
      </c>
      <c r="E99" s="85" t="s">
        <v>46</v>
      </c>
      <c r="F99" s="85" t="s">
        <v>47</v>
      </c>
      <c r="G99" s="86" t="s">
        <v>48</v>
      </c>
      <c r="H99" s="87" t="s">
        <v>49</v>
      </c>
      <c r="I99" s="88"/>
      <c r="J99" s="88"/>
    </row>
    <row r="100">
      <c r="A100" s="50"/>
      <c r="B100" s="89" t="s">
        <v>50</v>
      </c>
      <c r="C100" s="90">
        <f t="array" ref="C100:D100">LINEST('Výstup Teploty ČR podle měsíců'!B2:BM2)</f>
        <v>0.05069368132</v>
      </c>
      <c r="D100" s="91">
        <v>-3.6241071428571416</v>
      </c>
      <c r="E100" s="92">
        <f t="shared" ref="E100:E112" si="3">C100*10</f>
        <v>0.5069368132</v>
      </c>
      <c r="F100" s="92">
        <f t="shared" ref="F100:F112" si="4">C100*(2023-1961)</f>
        <v>3.143008242</v>
      </c>
      <c r="G100" s="93">
        <f>AVERAGE('Výstup Teploty ČR podle měsíců'!B2:K2)</f>
        <v>-3.86</v>
      </c>
      <c r="H100" s="94">
        <f>AVERAGE('Výstup Teploty ČR podle měsíců'!BD2:BM2)</f>
        <v>-0.47</v>
      </c>
      <c r="I100" s="95"/>
      <c r="J100" s="96"/>
    </row>
    <row r="101">
      <c r="A101" s="50"/>
      <c r="B101" s="89" t="s">
        <v>51</v>
      </c>
      <c r="C101" s="90">
        <f t="array" ref="C101:D101">LINEST('Výstup Teploty ČR podle měsíců'!B3:BM3)</f>
        <v>0.04369505495</v>
      </c>
      <c r="D101" s="91">
        <v>-2.004464285714285</v>
      </c>
      <c r="E101" s="92">
        <f t="shared" si="3"/>
        <v>0.4369505495</v>
      </c>
      <c r="F101" s="92">
        <f t="shared" si="4"/>
        <v>2.709093407</v>
      </c>
      <c r="G101" s="93">
        <f>AVERAGE('Výstup Teploty ČR podle měsíců'!B3:K3)</f>
        <v>-1.6</v>
      </c>
      <c r="H101" s="94">
        <f>AVERAGE('Výstup Teploty ČR podle měsíců'!BD3:BM3)</f>
        <v>1.64</v>
      </c>
      <c r="I101" s="95"/>
      <c r="J101" s="96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</row>
    <row r="102">
      <c r="A102" s="50"/>
      <c r="B102" s="89" t="s">
        <v>52</v>
      </c>
      <c r="C102" s="90">
        <f t="array" ref="C102:D102">LINEST('Výstup Teploty ČR podle měsíců'!B4:BM4)</f>
        <v>0.0361996337</v>
      </c>
      <c r="D102" s="91">
        <v>1.723511904761905</v>
      </c>
      <c r="E102" s="92">
        <f t="shared" si="3"/>
        <v>0.361996337</v>
      </c>
      <c r="F102" s="92">
        <f t="shared" si="4"/>
        <v>2.244377289</v>
      </c>
      <c r="G102" s="93">
        <f>AVERAGE('Výstup Teploty ČR podle měsíců'!B4:K4)</f>
        <v>1.36</v>
      </c>
      <c r="H102" s="94">
        <f>AVERAGE('Výstup Teploty ČR podle měsíců'!BD4:BM4)</f>
        <v>4.09</v>
      </c>
      <c r="I102" s="95"/>
      <c r="J102" s="96"/>
    </row>
    <row r="103">
      <c r="A103" s="50"/>
      <c r="B103" s="89" t="s">
        <v>53</v>
      </c>
      <c r="C103" s="90">
        <f t="array" ref="C103:D103">LINEST('Výstup Teploty ČR podle měsíců'!B5:BM5)</f>
        <v>0.02834478022</v>
      </c>
      <c r="D103" s="91">
        <v>6.824107142857146</v>
      </c>
      <c r="E103" s="92">
        <f t="shared" si="3"/>
        <v>0.2834478022</v>
      </c>
      <c r="F103" s="92">
        <f t="shared" si="4"/>
        <v>1.757376374</v>
      </c>
      <c r="G103" s="93">
        <f>AVERAGE('Výstup Teploty ČR podle měsíců'!B5:K5)</f>
        <v>7.83</v>
      </c>
      <c r="H103" s="94">
        <f>AVERAGE('Výstup Teploty ČR podle měsíců'!BD5:BM5)</f>
        <v>8.19</v>
      </c>
      <c r="I103" s="95"/>
      <c r="J103" s="96"/>
    </row>
    <row r="104">
      <c r="A104" s="50"/>
      <c r="B104" s="89" t="s">
        <v>54</v>
      </c>
      <c r="C104" s="90">
        <f t="array" ref="C104:D104">LINEST('Výstup Teploty ČR podle měsíců'!B6:BM6)</f>
        <v>0.02842032967</v>
      </c>
      <c r="D104" s="91">
        <v>11.701339285714282</v>
      </c>
      <c r="E104" s="92">
        <f t="shared" si="3"/>
        <v>0.2842032967</v>
      </c>
      <c r="F104" s="92">
        <f t="shared" si="4"/>
        <v>1.76206044</v>
      </c>
      <c r="G104" s="93">
        <f>AVERAGE('Výstup Teploty ČR podle měsíců'!B6:K6)</f>
        <v>11.59</v>
      </c>
      <c r="H104" s="94">
        <f>AVERAGE('Výstup Teploty ČR podle měsíců'!BD6:BM6)</f>
        <v>12.94</v>
      </c>
      <c r="I104" s="95"/>
      <c r="J104" s="96"/>
    </row>
    <row r="105">
      <c r="A105" s="50"/>
      <c r="B105" s="89" t="s">
        <v>55</v>
      </c>
      <c r="C105" s="90">
        <f t="array" ref="C105:D105">LINEST('Výstup Teploty ČR podle měsíců'!B7:BM7)</f>
        <v>0.04302884615</v>
      </c>
      <c r="D105" s="91">
        <v>14.659375</v>
      </c>
      <c r="E105" s="92">
        <f t="shared" si="3"/>
        <v>0.4302884615</v>
      </c>
      <c r="F105" s="92">
        <f t="shared" si="4"/>
        <v>2.667788462</v>
      </c>
      <c r="G105" s="93">
        <f>AVERAGE('Výstup Teploty ČR podle měsíců'!B7:K7)</f>
        <v>15.72</v>
      </c>
      <c r="H105" s="94">
        <f>AVERAGE('Výstup Teploty ČR podle měsíců'!BD7:BM7)</f>
        <v>17.87</v>
      </c>
      <c r="I105" s="95"/>
      <c r="J105" s="96"/>
    </row>
    <row r="106">
      <c r="A106" s="50"/>
      <c r="B106" s="89" t="s">
        <v>56</v>
      </c>
      <c r="C106" s="90">
        <f t="array" ref="C106:D106">LINEST('Výstup Teploty ČR podle měsíců'!B8:BM8)</f>
        <v>0.04740613553</v>
      </c>
      <c r="D106" s="91">
        <v>16.098363095238092</v>
      </c>
      <c r="E106" s="92">
        <f t="shared" si="3"/>
        <v>0.4740613553</v>
      </c>
      <c r="F106" s="92">
        <f t="shared" si="4"/>
        <v>2.939180403</v>
      </c>
      <c r="G106" s="93">
        <f>AVERAGE('Výstup Teploty ČR podle měsíců'!B8:K8)</f>
        <v>16.67</v>
      </c>
      <c r="H106" s="94">
        <f>AVERAGE('Výstup Teploty ČR podle měsíců'!BD8:BM8)</f>
        <v>19.03</v>
      </c>
      <c r="I106" s="95"/>
      <c r="J106" s="96"/>
    </row>
    <row r="107">
      <c r="A107" s="50"/>
      <c r="B107" s="89" t="s">
        <v>57</v>
      </c>
      <c r="C107" s="90">
        <f t="array" ref="C107:D107">LINEST('Výstup Teploty ČR podle měsíců'!B9:BM9)</f>
        <v>0.04980082418</v>
      </c>
      <c r="D107" s="91">
        <v>15.542410714285714</v>
      </c>
      <c r="E107" s="92">
        <f t="shared" si="3"/>
        <v>0.4980082418</v>
      </c>
      <c r="F107" s="92">
        <f t="shared" si="4"/>
        <v>3.087651099</v>
      </c>
      <c r="G107" s="93">
        <f>AVERAGE('Výstup Teploty ČR podle měsíců'!B9:K9)</f>
        <v>15.77</v>
      </c>
      <c r="H107" s="94">
        <f>AVERAGE('Výstup Teploty ČR podle měsíců'!BD9:BM9)</f>
        <v>18.93</v>
      </c>
      <c r="I107" s="95"/>
      <c r="J107" s="96"/>
    </row>
    <row r="108">
      <c r="A108" s="50"/>
      <c r="B108" s="89" t="s">
        <v>58</v>
      </c>
      <c r="C108" s="90">
        <f t="array" ref="C108:D108">LINEST('Výstup Teploty ČR podle měsíců'!B10:BM10)</f>
        <v>0.01974130037</v>
      </c>
      <c r="D108" s="91">
        <v>12.32559523809524</v>
      </c>
      <c r="E108" s="92">
        <f t="shared" si="3"/>
        <v>0.1974130037</v>
      </c>
      <c r="F108" s="92">
        <f t="shared" si="4"/>
        <v>1.223960623</v>
      </c>
      <c r="G108" s="93">
        <f>AVERAGE('Výstup Teploty ČR podle měsíců'!B10:K10)</f>
        <v>12.97</v>
      </c>
      <c r="H108" s="94">
        <f>AVERAGE('Výstup Teploty ČR podle měsíců'!BD10:BM10)</f>
        <v>14.02</v>
      </c>
      <c r="I108" s="95"/>
      <c r="J108" s="96"/>
    </row>
    <row r="109">
      <c r="A109" s="50"/>
      <c r="B109" s="89" t="s">
        <v>59</v>
      </c>
      <c r="C109" s="90">
        <f t="array" ref="C109:D109">LINEST('Výstup Teploty ČR podle měsíců'!B11:BM11)</f>
        <v>0.02288690476</v>
      </c>
      <c r="D109" s="91">
        <v>7.417113095238097</v>
      </c>
      <c r="E109" s="92">
        <f t="shared" si="3"/>
        <v>0.2288690476</v>
      </c>
      <c r="F109" s="92">
        <f t="shared" si="4"/>
        <v>1.418988095</v>
      </c>
      <c r="G109" s="93">
        <f>AVERAGE('Výstup Teploty ČR podle měsíců'!B11:K11)</f>
        <v>8.37</v>
      </c>
      <c r="H109" s="94">
        <f>AVERAGE('Výstup Teploty ČR podle měsíců'!BD11:BM11)</f>
        <v>9.28</v>
      </c>
      <c r="I109" s="95"/>
      <c r="J109" s="96"/>
    </row>
    <row r="110">
      <c r="A110" s="50"/>
      <c r="B110" s="89" t="s">
        <v>60</v>
      </c>
      <c r="C110" s="90">
        <f t="array" ref="C110:D110">LINEST('Výstup Teploty ČR podle měsíců'!B12:BM12)</f>
        <v>0.02780448718</v>
      </c>
      <c r="D110" s="91">
        <v>2.2072916666666655</v>
      </c>
      <c r="E110" s="92">
        <f t="shared" si="3"/>
        <v>0.2780448718</v>
      </c>
      <c r="F110" s="92">
        <f t="shared" si="4"/>
        <v>1.723878205</v>
      </c>
      <c r="G110" s="93">
        <f>AVERAGE('Výstup Teploty ČR podle měsíců'!B12:K12)</f>
        <v>3.16</v>
      </c>
      <c r="H110" s="94">
        <f>AVERAGE('Výstup Teploty ČR podle měsíců'!BD12:BM12)</f>
        <v>4.05</v>
      </c>
      <c r="I110" s="95"/>
      <c r="J110" s="96"/>
    </row>
    <row r="111">
      <c r="A111" s="50"/>
      <c r="B111" s="89" t="s">
        <v>61</v>
      </c>
      <c r="C111" s="90">
        <f t="array" ref="C111:D111">LINEST('Výstup Teploty ČR podle měsíců'!B13:BM13)</f>
        <v>0.04839056777</v>
      </c>
      <c r="D111" s="91">
        <v>-2.211755952380952</v>
      </c>
      <c r="E111" s="92">
        <f t="shared" si="3"/>
        <v>0.4839056777</v>
      </c>
      <c r="F111" s="92">
        <f t="shared" si="4"/>
        <v>3.000215201</v>
      </c>
      <c r="G111" s="93">
        <f>AVERAGE('Výstup Teploty ČR podle měsíců'!B13:K13)</f>
        <v>-2.8</v>
      </c>
      <c r="H111" s="94">
        <f>AVERAGE('Výstup Teploty ČR podle měsíců'!BD13:BM13)</f>
        <v>1.28</v>
      </c>
      <c r="I111" s="95"/>
      <c r="J111" s="96"/>
    </row>
    <row r="112">
      <c r="A112" s="50"/>
      <c r="B112" s="97" t="s">
        <v>62</v>
      </c>
      <c r="C112" s="98">
        <f t="array" ref="C112:D112">LINEST('Výstup Teploty ČR podle měsíců'!B14:BM14)</f>
        <v>0.03677197802</v>
      </c>
      <c r="D112" s="99">
        <v>6.733035714285713</v>
      </c>
      <c r="E112" s="100">
        <f t="shared" si="3"/>
        <v>0.3677197802</v>
      </c>
      <c r="F112" s="101">
        <f t="shared" si="4"/>
        <v>2.279862637</v>
      </c>
      <c r="G112" s="102">
        <f>AVERAGE('Výstup Teploty ČR podle měsíců'!B14:K14)</f>
        <v>7.1</v>
      </c>
      <c r="H112" s="103">
        <f>AVERAGE('Výstup Teploty ČR podle měsíců'!BD14:BM14)</f>
        <v>9.21</v>
      </c>
      <c r="I112" s="95"/>
      <c r="J112" s="96"/>
    </row>
    <row r="113">
      <c r="A113" s="50"/>
      <c r="B113" s="104"/>
      <c r="C113" s="105"/>
      <c r="D113" s="106"/>
      <c r="E113" s="107"/>
      <c r="F113" s="107"/>
      <c r="G113" s="108"/>
      <c r="H113" s="106"/>
    </row>
    <row r="114">
      <c r="A114" s="50"/>
      <c r="B114" s="109"/>
      <c r="C114" s="105"/>
      <c r="D114" s="106"/>
      <c r="E114" s="107"/>
      <c r="F114" s="107"/>
      <c r="G114" s="108"/>
      <c r="H114" s="106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</row>
    <row r="115">
      <c r="A115" s="50"/>
      <c r="B115" s="104"/>
      <c r="C115" s="105"/>
      <c r="D115" s="106"/>
      <c r="E115" s="107"/>
      <c r="F115" s="107"/>
      <c r="G115" s="108"/>
      <c r="H115" s="106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</row>
    <row r="116">
      <c r="A116" s="50"/>
      <c r="B116" s="110"/>
      <c r="C116" s="111"/>
      <c r="D116" s="112"/>
      <c r="E116" s="113"/>
      <c r="F116" s="113"/>
      <c r="G116" s="114"/>
      <c r="H116" s="114"/>
      <c r="I116" s="115"/>
      <c r="J116" s="111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</row>
    <row r="117">
      <c r="A117" s="50"/>
      <c r="B117" s="104"/>
      <c r="C117" s="105"/>
      <c r="D117" s="106"/>
      <c r="E117" s="107"/>
      <c r="F117" s="107"/>
      <c r="G117" s="108"/>
      <c r="H117" s="106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</row>
    <row r="118">
      <c r="A118" s="50"/>
      <c r="B118" s="104"/>
      <c r="C118" s="105"/>
      <c r="D118" s="106"/>
      <c r="E118" s="107"/>
      <c r="F118" s="107"/>
      <c r="G118" s="108"/>
      <c r="H118" s="106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</row>
    <row r="119">
      <c r="A119" s="50"/>
      <c r="B119" s="104"/>
      <c r="C119" s="105"/>
      <c r="D119" s="106"/>
      <c r="E119" s="107"/>
      <c r="F119" s="107"/>
      <c r="G119" s="108"/>
      <c r="H119" s="106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</row>
    <row r="120">
      <c r="A120" s="50"/>
      <c r="B120" s="104"/>
      <c r="C120" s="105"/>
      <c r="D120" s="106"/>
      <c r="E120" s="107"/>
      <c r="F120" s="107"/>
      <c r="G120" s="108"/>
      <c r="H120" s="106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</row>
    <row r="121">
      <c r="A121" s="50"/>
      <c r="B121" s="104"/>
      <c r="C121" s="105"/>
      <c r="D121" s="106"/>
      <c r="E121" s="107"/>
      <c r="F121" s="107"/>
      <c r="G121" s="108"/>
      <c r="H121" s="106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</row>
    <row r="122">
      <c r="A122" s="50"/>
      <c r="B122" s="104"/>
      <c r="C122" s="105"/>
      <c r="D122" s="106"/>
      <c r="E122" s="107"/>
      <c r="F122" s="107"/>
      <c r="G122" s="108"/>
      <c r="H122" s="106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</row>
    <row r="123">
      <c r="A123" s="50"/>
      <c r="B123" s="104"/>
      <c r="C123" s="105"/>
      <c r="D123" s="106"/>
      <c r="E123" s="107"/>
      <c r="F123" s="107"/>
      <c r="G123" s="108"/>
      <c r="H123" s="106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</row>
    <row r="124">
      <c r="A124" s="50"/>
      <c r="B124" s="104"/>
      <c r="C124" s="105"/>
      <c r="D124" s="106"/>
      <c r="E124" s="107"/>
      <c r="F124" s="107"/>
      <c r="G124" s="108"/>
      <c r="H124" s="106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</row>
    <row r="125">
      <c r="A125" s="50"/>
      <c r="B125" s="104"/>
      <c r="C125" s="105"/>
      <c r="D125" s="106"/>
      <c r="E125" s="107"/>
      <c r="F125" s="107"/>
      <c r="G125" s="108"/>
      <c r="H125" s="106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</row>
    <row r="126">
      <c r="A126" s="50"/>
      <c r="B126" s="104"/>
      <c r="C126" s="105"/>
      <c r="D126" s="106"/>
      <c r="E126" s="107"/>
      <c r="F126" s="107"/>
      <c r="G126" s="108"/>
      <c r="H126" s="106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</row>
    <row r="127">
      <c r="A127" s="50"/>
      <c r="B127" s="104"/>
      <c r="C127" s="105"/>
      <c r="D127" s="106"/>
      <c r="E127" s="107"/>
      <c r="F127" s="107"/>
      <c r="G127" s="108"/>
      <c r="H127" s="106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</row>
    <row r="128">
      <c r="A128" s="50"/>
      <c r="B128" s="104"/>
      <c r="C128" s="105"/>
      <c r="D128" s="106"/>
      <c r="E128" s="107"/>
      <c r="F128" s="107"/>
      <c r="G128" s="108"/>
      <c r="H128" s="106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</row>
    <row r="129">
      <c r="A129" s="50"/>
      <c r="B129" s="104"/>
      <c r="C129" s="105"/>
      <c r="D129" s="106"/>
      <c r="E129" s="107"/>
      <c r="F129" s="107"/>
      <c r="G129" s="108"/>
      <c r="H129" s="106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</row>
    <row r="130">
      <c r="A130" s="50"/>
      <c r="B130" s="104"/>
      <c r="C130" s="105"/>
      <c r="D130" s="106"/>
      <c r="E130" s="107"/>
      <c r="F130" s="107"/>
      <c r="G130" s="108"/>
      <c r="H130" s="106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</row>
    <row r="131">
      <c r="A131" s="50"/>
      <c r="B131" s="104"/>
      <c r="C131" s="105"/>
      <c r="D131" s="106"/>
      <c r="E131" s="107"/>
      <c r="F131" s="107"/>
      <c r="G131" s="108"/>
      <c r="H131" s="106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</row>
    <row r="132">
      <c r="A132" s="50"/>
      <c r="B132" s="104"/>
      <c r="C132" s="105"/>
      <c r="D132" s="106"/>
      <c r="E132" s="107"/>
      <c r="F132" s="107"/>
      <c r="G132" s="108"/>
      <c r="H132" s="106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</row>
    <row r="133">
      <c r="A133" s="50"/>
      <c r="B133" s="104"/>
      <c r="C133" s="105"/>
      <c r="D133" s="106"/>
      <c r="E133" s="107"/>
      <c r="F133" s="107"/>
      <c r="G133" s="108"/>
      <c r="H133" s="106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</row>
  </sheetData>
  <mergeCells count="2">
    <mergeCell ref="F15:H15"/>
    <mergeCell ref="F18:H18"/>
  </mergeCells>
  <hyperlinks>
    <hyperlink r:id="rId1" ref="B3"/>
    <hyperlink r:id="rId2" ref="E3"/>
    <hyperlink display="Tabulka v příloze" location="'Vstup Měsíční teploty ČR'!A1" ref="D18"/>
    <hyperlink r:id="rId3" ref="I18"/>
    <hyperlink display="Tabulka v příloze" location="'Výstup Teploty ČR podle měsíců'!A1" ref="D97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06.13"/>
  </cols>
  <sheetData>
    <row r="1">
      <c r="A1" s="155" t="s">
        <v>63</v>
      </c>
      <c r="B1" s="156" t="s">
        <v>64</v>
      </c>
    </row>
    <row r="2">
      <c r="A2" s="157" t="s">
        <v>65</v>
      </c>
      <c r="B2" s="157" t="s">
        <v>66</v>
      </c>
    </row>
    <row r="3">
      <c r="A3" s="158" t="s">
        <v>50</v>
      </c>
      <c r="B3" s="159">
        <v>0.034</v>
      </c>
    </row>
    <row r="4">
      <c r="A4" s="160" t="s">
        <v>51</v>
      </c>
      <c r="B4" s="159">
        <v>0.27</v>
      </c>
    </row>
    <row r="5">
      <c r="A5" s="160" t="s">
        <v>52</v>
      </c>
      <c r="B5" s="159">
        <v>0.045</v>
      </c>
    </row>
    <row r="6">
      <c r="A6" s="160" t="s">
        <v>53</v>
      </c>
      <c r="B6" s="159">
        <v>0.002</v>
      </c>
    </row>
    <row r="7">
      <c r="A7" s="160" t="s">
        <v>54</v>
      </c>
      <c r="B7" s="159" t="s">
        <v>67</v>
      </c>
    </row>
    <row r="8">
      <c r="A8" s="160" t="s">
        <v>55</v>
      </c>
      <c r="B8" s="159">
        <v>0.0</v>
      </c>
    </row>
    <row r="9">
      <c r="A9" s="160" t="s">
        <v>56</v>
      </c>
      <c r="B9" s="161">
        <v>5.0E-5</v>
      </c>
    </row>
    <row r="10">
      <c r="A10" s="160" t="s">
        <v>57</v>
      </c>
      <c r="B10" s="161">
        <v>1.0E-5</v>
      </c>
    </row>
    <row r="11">
      <c r="A11" s="160" t="s">
        <v>58</v>
      </c>
      <c r="B11" s="159">
        <v>0.27</v>
      </c>
    </row>
    <row r="12">
      <c r="A12" s="160" t="s">
        <v>59</v>
      </c>
      <c r="B12" s="159">
        <v>0.21</v>
      </c>
    </row>
    <row r="13">
      <c r="A13" s="160" t="s">
        <v>60</v>
      </c>
      <c r="B13" s="159">
        <v>0.023</v>
      </c>
    </row>
    <row r="14">
      <c r="A14" s="160" t="s">
        <v>61</v>
      </c>
      <c r="B14" s="159">
        <v>0.006</v>
      </c>
    </row>
    <row r="15">
      <c r="A15" s="160" t="s">
        <v>62</v>
      </c>
      <c r="B15" s="161">
        <v>0.0</v>
      </c>
    </row>
  </sheetData>
  <drawing r:id="rId1"/>
</worksheet>
</file>